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mc:AlternateContent xmlns:mc="http://schemas.openxmlformats.org/markup-compatibility/2006">
    <mc:Choice Requires="x15">
      <x15ac:absPath xmlns:x15ac="http://schemas.microsoft.com/office/spreadsheetml/2010/11/ac" url="https://grupomga.sharepoint.com/sites/AMTeam/Documentos compartidos/3. ADMIN/3. MASTERLISTS/Masterlists Internos/"/>
    </mc:Choice>
  </mc:AlternateContent>
  <xr:revisionPtr revIDLastSave="0" documentId="8_{899EA9C3-8BE2-484C-8920-458D3319EA0F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SPAIN" sheetId="1" r:id="rId1"/>
    <sheet name="PORTUGAL" sheetId="2" r:id="rId2"/>
    <sheet name=".COM" sheetId="3" r:id="rId3"/>
    <sheet name="NETHERLANDS" sheetId="4" r:id="rId4"/>
    <sheet name="ITALY" sheetId="5" r:id="rId5"/>
    <sheet name="COLOMBIA" sheetId="6" r:id="rId6"/>
  </sheets>
  <definedNames>
    <definedName name="_xlnm._FilterDatabase" localSheetId="1" hidden="1">PORTUGAL!$N$1:$N$70</definedName>
    <definedName name="_xlnm._FilterDatabase" localSheetId="0" hidden="1">SPAIN!$L$1:$L$234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3" l="1"/>
  <c r="F77" i="1"/>
  <c r="F55" i="1"/>
  <c r="F122" i="1"/>
  <c r="F187" i="1"/>
  <c r="F150" i="1"/>
  <c r="F173" i="1"/>
  <c r="F214" i="1"/>
  <c r="F47" i="2"/>
  <c r="G2" i="6"/>
  <c r="E2" i="6"/>
  <c r="G35" i="6"/>
  <c r="E35" i="6"/>
  <c r="G34" i="6"/>
  <c r="E34" i="6"/>
  <c r="G33" i="6"/>
  <c r="E33" i="6"/>
  <c r="G32" i="6"/>
  <c r="E32" i="6"/>
  <c r="G31" i="6"/>
  <c r="E31" i="6"/>
  <c r="G30" i="6"/>
  <c r="E30" i="6"/>
  <c r="G29" i="6"/>
  <c r="E29" i="6"/>
  <c r="G28" i="6"/>
  <c r="E28" i="6"/>
  <c r="G27" i="6"/>
  <c r="E27" i="6"/>
  <c r="G26" i="6"/>
  <c r="E26" i="6"/>
  <c r="G25" i="6"/>
  <c r="E25" i="6"/>
  <c r="G24" i="6"/>
  <c r="E24" i="6"/>
  <c r="G23" i="6"/>
  <c r="E23" i="6"/>
  <c r="G22" i="6"/>
  <c r="E22" i="6"/>
  <c r="G21" i="6"/>
  <c r="E21" i="6"/>
  <c r="G20" i="6"/>
  <c r="E20" i="6"/>
  <c r="G19" i="6"/>
  <c r="E19" i="6"/>
  <c r="G18" i="6"/>
  <c r="E18" i="6"/>
  <c r="G17" i="6"/>
  <c r="E17" i="6"/>
  <c r="G16" i="6"/>
  <c r="E16" i="6"/>
  <c r="G15" i="6"/>
  <c r="E15" i="6"/>
  <c r="G14" i="6"/>
  <c r="E14" i="6"/>
  <c r="G13" i="6"/>
  <c r="E13" i="6"/>
  <c r="G12" i="6"/>
  <c r="E12" i="6"/>
  <c r="G11" i="6"/>
  <c r="E11" i="6"/>
  <c r="G10" i="6"/>
  <c r="E10" i="6"/>
  <c r="G9" i="6"/>
  <c r="E9" i="6"/>
  <c r="G8" i="6"/>
  <c r="E8" i="6"/>
  <c r="G7" i="6"/>
  <c r="E7" i="6"/>
  <c r="G6" i="6"/>
  <c r="E6" i="6"/>
  <c r="G5" i="6"/>
  <c r="E5" i="6"/>
  <c r="G4" i="6"/>
  <c r="E4" i="6"/>
  <c r="G3" i="6"/>
  <c r="E3" i="6"/>
  <c r="F224" i="1"/>
  <c r="F225" i="1"/>
  <c r="F226" i="1"/>
  <c r="F227" i="1"/>
  <c r="F228" i="1"/>
  <c r="F229" i="1"/>
  <c r="F230" i="1"/>
  <c r="F231" i="1"/>
  <c r="F232" i="1"/>
  <c r="F233" i="1"/>
  <c r="E63" i="3"/>
  <c r="E3" i="3"/>
  <c r="E4" i="3"/>
  <c r="E5" i="3"/>
  <c r="E6" i="3"/>
  <c r="E7" i="3"/>
  <c r="E8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7" i="3"/>
  <c r="E28" i="3"/>
  <c r="E29" i="3"/>
  <c r="E30" i="3"/>
  <c r="E31" i="3"/>
  <c r="E32" i="3"/>
  <c r="E33" i="3"/>
  <c r="E34" i="3"/>
  <c r="E35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1" i="3"/>
  <c r="E52" i="3"/>
  <c r="E53" i="3"/>
  <c r="E54" i="3"/>
  <c r="E56" i="3"/>
  <c r="E57" i="3"/>
  <c r="E58" i="3"/>
  <c r="E59" i="3"/>
  <c r="E60" i="3"/>
  <c r="E61" i="3"/>
  <c r="E62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2" i="3"/>
  <c r="F211" i="1"/>
  <c r="F3" i="2"/>
  <c r="F4" i="2"/>
  <c r="F5" i="2"/>
  <c r="F6" i="2"/>
  <c r="F7" i="2"/>
  <c r="F8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1" i="2"/>
  <c r="F33" i="2"/>
  <c r="F34" i="2"/>
  <c r="F35" i="2"/>
  <c r="F36" i="2"/>
  <c r="F37" i="2"/>
  <c r="F39" i="2"/>
  <c r="F40" i="2"/>
  <c r="F41" i="2"/>
  <c r="F42" i="2"/>
  <c r="F43" i="2"/>
  <c r="F44" i="2"/>
  <c r="F45" i="2"/>
  <c r="F46" i="2"/>
  <c r="F48" i="2"/>
  <c r="F49" i="2"/>
  <c r="F51" i="2"/>
  <c r="F52" i="2"/>
  <c r="F53" i="2"/>
  <c r="F55" i="2"/>
  <c r="F57" i="2"/>
  <c r="F59" i="2"/>
  <c r="F60" i="2"/>
  <c r="F61" i="2"/>
  <c r="F62" i="2"/>
  <c r="F63" i="2"/>
  <c r="F64" i="2"/>
  <c r="F65" i="2"/>
  <c r="F66" i="2"/>
  <c r="F67" i="2"/>
  <c r="F68" i="2"/>
  <c r="F2" i="2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5" i="5"/>
  <c r="E4" i="5"/>
  <c r="E3" i="5"/>
  <c r="E2" i="5"/>
  <c r="E5" i="4"/>
  <c r="E4" i="4"/>
  <c r="E3" i="4"/>
  <c r="E2" i="4"/>
  <c r="F24" i="1"/>
  <c r="F6" i="1"/>
  <c r="F7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5" i="1"/>
  <c r="F26" i="1"/>
  <c r="F27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3" i="1"/>
  <c r="F44" i="1"/>
  <c r="F45" i="1"/>
  <c r="F46" i="1"/>
  <c r="F47" i="1"/>
  <c r="F48" i="1"/>
  <c r="F49" i="1"/>
  <c r="F50" i="1"/>
  <c r="F51" i="1"/>
  <c r="F52" i="1"/>
  <c r="F54" i="1"/>
  <c r="F56" i="1"/>
  <c r="F57" i="1"/>
  <c r="F58" i="1"/>
  <c r="F59" i="1"/>
  <c r="F60" i="1"/>
  <c r="F61" i="1"/>
  <c r="F62" i="1"/>
  <c r="F64" i="1"/>
  <c r="F146" i="1"/>
  <c r="F66" i="1"/>
  <c r="F67" i="1"/>
  <c r="F68" i="1"/>
  <c r="F69" i="1"/>
  <c r="F70" i="1"/>
  <c r="F71" i="1"/>
  <c r="F72" i="1"/>
  <c r="F73" i="1"/>
  <c r="F75" i="1"/>
  <c r="F78" i="1"/>
  <c r="F79" i="1"/>
  <c r="F80" i="1"/>
  <c r="F81" i="1"/>
  <c r="F82" i="1"/>
  <c r="F83" i="1"/>
  <c r="F63" i="1"/>
  <c r="F84" i="1"/>
  <c r="F85" i="1"/>
  <c r="F86" i="1"/>
  <c r="F87" i="1"/>
  <c r="F88" i="1"/>
  <c r="F89" i="1"/>
  <c r="F90" i="1"/>
  <c r="F91" i="1"/>
  <c r="F92" i="1"/>
  <c r="F94" i="1"/>
  <c r="F95" i="1"/>
  <c r="F96" i="1"/>
  <c r="F97" i="1"/>
  <c r="F98" i="1"/>
  <c r="F99" i="1"/>
  <c r="F100" i="1"/>
  <c r="F101" i="1"/>
  <c r="F102" i="1"/>
  <c r="F103" i="1"/>
  <c r="F104" i="1"/>
  <c r="F105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1" i="1"/>
  <c r="F142" i="1"/>
  <c r="F143" i="1"/>
  <c r="F144" i="1"/>
  <c r="F145" i="1"/>
  <c r="F147" i="1"/>
  <c r="F148" i="1"/>
  <c r="F149" i="1"/>
  <c r="F151" i="1"/>
  <c r="F152" i="1"/>
  <c r="F153" i="1"/>
  <c r="F154" i="1"/>
  <c r="F155" i="1"/>
  <c r="F156" i="1"/>
  <c r="F157" i="1"/>
  <c r="F158" i="1"/>
  <c r="F159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2" i="1"/>
  <c r="F213" i="1"/>
  <c r="F215" i="1"/>
  <c r="F216" i="1"/>
  <c r="F217" i="1"/>
  <c r="F218" i="1"/>
  <c r="F219" i="1"/>
  <c r="F220" i="1"/>
  <c r="F221" i="1"/>
  <c r="F223" i="1"/>
  <c r="F3" i="1"/>
  <c r="F4" i="1"/>
  <c r="F5" i="1"/>
  <c r="F2" i="1"/>
</calcChain>
</file>

<file path=xl/sharedStrings.xml><?xml version="1.0" encoding="utf-8"?>
<sst xmlns="http://schemas.openxmlformats.org/spreadsheetml/2006/main" count="5138" uniqueCount="1487">
  <si>
    <r>
      <rPr>
        <b/>
        <i/>
        <u/>
        <sz val="12"/>
        <color rgb="FFFFFFFF"/>
        <rFont val="Calibri"/>
      </rPr>
      <t xml:space="preserve">Updated 22/04/2026
</t>
    </r>
    <r>
      <rPr>
        <b/>
        <sz val="12"/>
        <color rgb="FFFFFFFF"/>
        <rFont val="Calibri"/>
      </rPr>
      <t>GameName</t>
    </r>
  </si>
  <si>
    <t>Category</t>
  </si>
  <si>
    <t>TIER</t>
  </si>
  <si>
    <t>Release Date</t>
  </si>
  <si>
    <t>Demo URL</t>
  </si>
  <si>
    <t>Demo Link</t>
  </si>
  <si>
    <t>Pay Lines</t>
  </si>
  <si>
    <t>Reels</t>
  </si>
  <si>
    <t>Min Bet (€)</t>
  </si>
  <si>
    <t>Max Bet (€)</t>
  </si>
  <si>
    <t>Default Bet (€)</t>
  </si>
  <si>
    <t>Max Exposure (€)</t>
  </si>
  <si>
    <t>Chip Sizes (€)</t>
  </si>
  <si>
    <t>Max Multiplier</t>
  </si>
  <si>
    <t>RTP</t>
  </si>
  <si>
    <t>Jackpot</t>
  </si>
  <si>
    <t>Hit Rate</t>
  </si>
  <si>
    <t>Volatility</t>
  </si>
  <si>
    <t>777 Caliente Megaways</t>
  </si>
  <si>
    <t>MEGAWAYS</t>
  </si>
  <si>
    <t>PREMIUM</t>
  </si>
  <si>
    <t>https://sitemga.mga.games/GameLauncher/gameLauncher.jsp?game=1001174&amp;clienttype=html5&amp;mid=1</t>
  </si>
  <si>
    <t>14,401.00 € (RTP 90.62%) 12,800.00 € (RTP 85.36%, 83.55%) 16,000.00 € (RTP 95.47%)</t>
  </si>
  <si>
    <t>0.20€, 0.40€, 0.60€, 1.00€, 1.20€, 1.40€, 1.80€, 2.00€, 3.00€, 5.00€, 6.00€, 7.00€, 9.00€, 10.00€</t>
  </si>
  <si>
    <t>x1440 (RTP 90.62%) | x1280 (RTP 85.36%, 83.55%) | x1600 (RTP 95.47%)</t>
  </si>
  <si>
    <t>Profiles (83.55%, 85.36%, 90.62%, 95.47%)</t>
  </si>
  <si>
    <t>NO</t>
  </si>
  <si>
    <t>High</t>
  </si>
  <si>
    <t>Delicias Del Chef Megaways</t>
  </si>
  <si>
    <t>https://sitemga.mga.games/GameLauncher/gameLauncher.jsp?game=1001444&amp;clienttype=html5&amp;mid=2</t>
  </si>
  <si>
    <t>x5000</t>
  </si>
  <si>
    <t>Profiles (85,20% - 90,51% - 95,76%)</t>
  </si>
  <si>
    <t>Low</t>
  </si>
  <si>
    <t>Dulce Fortuna Megaways</t>
  </si>
  <si>
    <t>https://sitemga.mga.games/GameLauncher/gameLauncher.jsp?game=1001414&amp;clienttype=html5&amp;mid=2</t>
  </si>
  <si>
    <t>Profiles(95.76% - 90.51% - 85.20%)</t>
  </si>
  <si>
    <t>Lejano Oeste Mania Megaways</t>
  </si>
  <si>
    <t>https://sitemga.mga.games/GameLauncher/gameLauncher.jsp?game=1001291&amp;clienttype=html5&amp;mid=1</t>
  </si>
  <si>
    <t>Profiles (85,20%, 90,51%, 95,76%)</t>
  </si>
  <si>
    <t>Multivolatility</t>
  </si>
  <si>
    <t>Llevate La Pasta Megaways</t>
  </si>
  <si>
    <t>https://sitemga.mga.games/GameLauncher/gameLauncher.jsp?game=1001376&amp;clienttype=html5&amp;mid=1</t>
  </si>
  <si>
    <t>Profiles (85,22% - 90,25% - 95,12%)</t>
  </si>
  <si>
    <t>Medium</t>
  </si>
  <si>
    <t>Mar Dorado Megaways</t>
  </si>
  <si>
    <t>https://sitemga.mga.games/GameLauncher/gameLauncher.jsp?game=1001454&amp;clienttype=html5&amp;mid=1</t>
  </si>
  <si>
    <t>0.20€, 0.40€, 0.60€, 1.00€, 1.40€, 2.00€, 3.00€, 4.00€, 5.00€, 6.00€, 7.00€, 10.00€, 14.00€, 20.00€</t>
  </si>
  <si>
    <t>x1250</t>
  </si>
  <si>
    <t>Profiles (83.05% - 85.10% - 90.16% - 95.25%)</t>
  </si>
  <si>
    <t>Mariachi Picante Megaways</t>
  </si>
  <si>
    <t>https://sitemga.mga.games/GameLauncher/gameLauncher.jsp?game=1001500&amp;clienttype=html5&amp;mid=1</t>
  </si>
  <si>
    <t>MARIACHI PICANTE MEGAWAYS</t>
  </si>
  <si>
    <t>€0.20</t>
  </si>
  <si>
    <t>€20.00</t>
  </si>
  <si>
    <t>€1.00</t>
  </si>
  <si>
    <t>€25000.00</t>
  </si>
  <si>
    <t>x1250.00</t>
  </si>
  <si>
    <t>Standard Profiles (83.05% - 85.10% - 90.16% - 95.25%); Bonus Buy Profiles (83.02% - 85.11% - 90.09% - 95.25%)</t>
  </si>
  <si>
    <t>49.26%</t>
  </si>
  <si>
    <t>Mina De Oro Mania Megaways</t>
  </si>
  <si>
    <t>https://sitemga.mga.games/GameLauncher/gameLauncher.jsp?game=1001249&amp;clienttype=html5&amp;mid=1</t>
  </si>
  <si>
    <t>x2100</t>
  </si>
  <si>
    <t>Profiles (80,02%, 85,08%, 90,08%, 92,09%, 95%)</t>
  </si>
  <si>
    <t>Nacho Vidal</t>
  </si>
  <si>
    <t>https://sitemga.mga.games/GameLauncher/gameLauncher.jsp?game=1001121&amp;clienttype=html5&amp;mid=1</t>
  </si>
  <si>
    <t>16,000.00 € (RTP 95.17%) 14,401.00 € (RTP 90.26%) 12,800.00 € (RTP 83.27%, 85.09%)</t>
  </si>
  <si>
    <t>x1600 (RTP 95.17%) | x1440 (RTP 90.26%) | x1280 (RTP 83.27%, 85.09%)</t>
  </si>
  <si>
    <t>Profiles (83.27%, 85.09%, 90.26%, 95.17%)</t>
  </si>
  <si>
    <t>Poli Diaz Boxing Champion</t>
  </si>
  <si>
    <t>https://sitemga.mga.games/GameLauncher/gameLauncher.jsp?game=1001120&amp;clienttype=html5&amp;mid=1</t>
  </si>
  <si>
    <t>12,800.00 € (RTP 83.59%, 85.46%) 16,000.00 € (RTP 95.53%) 14,401.00 € (RTP 90.6%)</t>
  </si>
  <si>
    <t>x1280 (RTP 83.59%, 85.46%) | x1600 (RTP 95.53%) | x1440 (RTP 90.6%)</t>
  </si>
  <si>
    <t>Profiles (83.59%, 85.46%, 90.60%, 95.53%)</t>
  </si>
  <si>
    <t>Secretos De Persia Megaways</t>
  </si>
  <si>
    <t>https://sitemga.mga.games/GameLauncher/gameLauncher.jsp?game=1001473&amp;clienttype=html5&amp;mid=1</t>
  </si>
  <si>
    <t>Profiles (85.86% - 90.77% - 95.82%)</t>
  </si>
  <si>
    <t>Abigail Ratchfords Treasure Quest</t>
  </si>
  <si>
    <t>SLOTS</t>
  </si>
  <si>
    <t>https://sitemga.mga.games/GameLauncher/gameLauncher.jsp?game=1001060&amp;clienttype=html5&amp;mid=1</t>
  </si>
  <si>
    <t>0.30€, 0.60€, 0.90€, 1.20€, 1.50€, 1.80€, 2.40€, 3.00€, 4.50€, 6.00€</t>
  </si>
  <si>
    <t>x6350</t>
  </si>
  <si>
    <t>Profiles (85.28%, 91.03%, 93.13%, 95.24%)</t>
  </si>
  <si>
    <t>Aeropuerto</t>
  </si>
  <si>
    <t>https://sitemga.mga.games/GameLauncher/gameLauncher.jsp?game=1000092&amp;clienttype=html5&amp;mid=1</t>
  </si>
  <si>
    <t>0.20€, 1€, 5€, 10€, 15€</t>
  </si>
  <si>
    <t>x1000</t>
  </si>
  <si>
    <t>Configuration by Bet (70%-95%)</t>
  </si>
  <si>
    <t>Ainhoa</t>
  </si>
  <si>
    <t>https://sitemga.mga.games/GameLauncher/gameLauncher.jsp?game=1000066&amp;clienttype=html5&amp;mid=1</t>
  </si>
  <si>
    <t>Andy Y Lucas</t>
  </si>
  <si>
    <t>https://sitemga.mga.games/GameLauncher/gameLauncher.jsp?game=1000048&amp;clienttype=html5&amp;mid=1</t>
  </si>
  <si>
    <t>Aramis Fuster La Bruja</t>
  </si>
  <si>
    <t>https://sitemga.mga.games/GameLauncher/gameLauncher.jsp?game=1000040&amp;clienttype=html5&amp;mid=1</t>
  </si>
  <si>
    <t>0.20€, 1€, 2€, 5€, 10€</t>
  </si>
  <si>
    <t>Arévalo</t>
  </si>
  <si>
    <t>https://sitemga.mga.games/GameLauncher/gameLauncher.jsp?game=1000044&amp;clienttype=html5&amp;mid=1</t>
  </si>
  <si>
    <t>0,20€, 1€, 2€, 5€,10€</t>
  </si>
  <si>
    <t>Asalto Al Banco</t>
  </si>
  <si>
    <t>PRO</t>
  </si>
  <si>
    <t>https://sitemga.mga.games/GameLauncher/gameLauncher.jsp?game=1000020&amp;clienttype=html5&amp;mid=2</t>
  </si>
  <si>
    <t>Aurah Ruiz Diosa De Jade</t>
  </si>
  <si>
    <t>https://sitemga.mga.games/GameLauncher/gameLauncher.jsp?game=1001157&amp;clienttype=html5&amp;mid=1</t>
  </si>
  <si>
    <t>0.25€, 0.50€, 1.00€, 2.00€, 2.50€, 5.00€, 10.00€, 15.00€, 20.00€, 25.00€</t>
  </si>
  <si>
    <t>x1040</t>
  </si>
  <si>
    <t>Profiles (95.23%, 90.20%, 85.17% )</t>
  </si>
  <si>
    <t>Avalancha Salvaje</t>
  </si>
  <si>
    <t>https://sitemga.mga.games/GameLauncher/gameLauncher.jsp?game=1001483&amp;clienttype=html5&amp;mid=1</t>
  </si>
  <si>
    <t>0.10€, 0.20€, 0.50€, 1.00€, 2.00€, 5.00€, 10.00€, 20.00€</t>
  </si>
  <si>
    <t>Profiles (84.74% - 90.33% - 95.05%)</t>
  </si>
  <si>
    <t>Aventuras Piratas</t>
  </si>
  <si>
    <t>https://sitemga.mga.games/GameLauncher/gameLauncher.jsp?game=1001225&amp;clienttype=html5&amp;mid=1</t>
  </si>
  <si>
    <t>44,295.00 € (RTP 95.04%, 92.03%, 90.06%) 44,145.00 € (RTP 85.0%) 43,518.75 € (RTP 80.01%)</t>
  </si>
  <si>
    <t>0.20€, 1.00€, 2.00€, 3.00€, 5.00€, 10.00€, 15.00€, 20.00€, 25.00€, 30.00€, 50.00€, 75.00€</t>
  </si>
  <si>
    <t>x590 (RTP 95.04%, 92.03%, 90.06%) | x588 (RTP 85.0%) | x580 (RTP 80.01%)</t>
  </si>
  <si>
    <t>Profiles (80.01%, 85.00%, 90.06%, 92.03%, 95.04%)</t>
  </si>
  <si>
    <t>B Jones In Session</t>
  </si>
  <si>
    <t>https://sitemga.mga.games/GameLauncher/gameLauncher.jsp?game=1001088&amp;clienttype=html5&amp;mid=2</t>
  </si>
  <si>
    <t>12,150.00 € (RTP 83.1%, 85.8%, 90.05%, 95.23%) 29,160.00 € (RTP 83.83%, 85.33%, 90.22%) 34,020.00 € (RTP 95.41%) 72,900.00 € (RTP 83.47%, 85.18%, 90.66%, 95.77%)</t>
  </si>
  <si>
    <t>x486 (RTP 83.1%, 85.8%, 90.05%, 95.23%) | x1166 (RTP 83.83%, 85.33%, 90.22%) | x1360 (RTP 95.41%) | x2916 (RTP 83.47%, 85.18%, 90.66%, 95.77%)</t>
  </si>
  <si>
    <t>Profiles (83.10%, 83.47%, 83.83%, 85.18%, 85.33%, 85.80%, 90.05%, 90.22%, 90.66%, 95.23%, 95.41%, 95.77%)</t>
  </si>
  <si>
    <t>Barragan En Laponia</t>
  </si>
  <si>
    <t>https://sitemga.mga.games/GameLauncher/gameLauncher.jsp?game=1000137&amp;clienttype=html5&amp;mid=1</t>
  </si>
  <si>
    <t>Barragan Y Las Joyas De La Cacharreria</t>
  </si>
  <si>
    <t>https://sitemga.mga.games/GameLauncher/gameLauncher.jsp?game=1000031&amp;clienttype=html5&amp;mid=1</t>
  </si>
  <si>
    <t>Barragan Y Los Tesoros Perdidos Del Parque</t>
  </si>
  <si>
    <t>https://sitemga.mga.games/GameLauncher/gameLauncher.jsp?game=1001057&amp;clienttype=html5&amp;mid=1</t>
  </si>
  <si>
    <t>0.20€, 0.60€, 1.00€, 2.00€, 5.00€, 8.00€, 10.00€, 15.00€, 20.00€, 25.00€</t>
  </si>
  <si>
    <t>x750</t>
  </si>
  <si>
    <t>Profiles (86.05% , 90.75%, 95.97%)</t>
  </si>
  <si>
    <t>Beach</t>
  </si>
  <si>
    <t>https://sitemga.mga.games/GameLauncher/gameLauncher.jsp?game=1000009&amp;clienttype=html5&amp;mid=1</t>
  </si>
  <si>
    <t>0.20€, 1€, 2€</t>
  </si>
  <si>
    <t>Boquerone En Las Vegas</t>
  </si>
  <si>
    <t>https://sitemga.mga.games/GameLauncher/gameLauncher.jsp?game=1000152&amp;clienttype=html5&amp;mid=1</t>
  </si>
  <si>
    <t>BOQUERONE EN LAS VEGAS</t>
  </si>
  <si>
    <t>€15.00</t>
  </si>
  <si>
    <t>€15000.00</t>
  </si>
  <si>
    <t>0.20€, 1.00€, 5.00€, 10.00€, 15.00€</t>
  </si>
  <si>
    <t>x1000.00</t>
  </si>
  <si>
    <t>Dynamic RTP (70-95%)</t>
  </si>
  <si>
    <t>25.06%</t>
  </si>
  <si>
    <t>Bucaneros</t>
  </si>
  <si>
    <t>https://sitemga.mga.games/GameLauncher/gameLauncher.jsp?game=1000012&amp;clienttype=html5&amp;mid=1</t>
  </si>
  <si>
    <t>0.20€, 0.60€, 1€</t>
  </si>
  <si>
    <t>x500</t>
  </si>
  <si>
    <t>Cabaret</t>
  </si>
  <si>
    <t>https://sitemga.mga.games/GameLauncher/gameLauncher.jsp?game=1001055&amp;clienttype=html5&amp;mid=1</t>
  </si>
  <si>
    <t>x1080</t>
  </si>
  <si>
    <t>Profiles(86.66%, 91.22%, 96.21%)</t>
  </si>
  <si>
    <t>Canales Rivera La Feria De Abril</t>
  </si>
  <si>
    <t>https://sitemga.mga.games/GameLauncher/gameLauncher.jsp?game=1000077&amp;clienttype=html5&amp;mid=1</t>
  </si>
  <si>
    <t>Cañita Brava</t>
  </si>
  <si>
    <t>https://sitemga.mga.games/GameLauncher/gameLauncher.jsp?game=1000078&amp;clienttype=html5&amp;mid=1</t>
  </si>
  <si>
    <t>Cañita Brava En Las Fallas</t>
  </si>
  <si>
    <t>https://sitemga.mga.games/GameLauncher/gameLauncher.jsp?game=1000142&amp;clienttype=html5&amp;mid=1</t>
  </si>
  <si>
    <t>Carnaval De Leyendas Míticas</t>
  </si>
  <si>
    <t>https://sitemga.mga.games/GameLauncher/gameLauncher.jsp?game=1001490&amp;clienttype=html5&amp;mid=1</t>
  </si>
  <si>
    <t>Profiles (85,42% - 90,57% - 94,88%)</t>
  </si>
  <si>
    <t>Castle Slots</t>
  </si>
  <si>
    <t>https://sitemga.mga.games/GameLauncher/gameLauncher.jsp?game=1001045&amp;clienttype=html5&amp;mid=1</t>
  </si>
  <si>
    <t>0.10€, 0.20€, 0.50€, 1.00€, 2.00€, 5.00€, 10.00€, 15.00€, 20.00€, 25.00€, 50.00€</t>
  </si>
  <si>
    <t>x718</t>
  </si>
  <si>
    <t>Profiles(85%,89.99%,95%)</t>
  </si>
  <si>
    <t>Celtic</t>
  </si>
  <si>
    <t>https://sitemga.mga.games/GameLauncher/gameLauncher.jsp?game=1000008&amp;clienttype=html5&amp;mid=1</t>
  </si>
  <si>
    <t>Chicago</t>
  </si>
  <si>
    <t>https://sitemga.mga.games/GameLauncher/gameLauncher.jsp?game=1000097&amp;clienttype=html5&amp;mid=1</t>
  </si>
  <si>
    <t>Chiquito</t>
  </si>
  <si>
    <t>https://sitemga.mga.games/GameLauncher/gameLauncher.jsp?game=1000027&amp;clienttype=html5&amp;mid=1</t>
  </si>
  <si>
    <t>1€, 3€, 5€, 10€, 15€</t>
  </si>
  <si>
    <t>Configuration by Bet (80%-95%)</t>
  </si>
  <si>
    <t>Chiquito 2: Condemor Al Rescate</t>
  </si>
  <si>
    <t>https://sitemga.mga.games/GameLauncher/gameLauncher.jsp?game=1000054&amp;clienttype=html5&amp;mid=1</t>
  </si>
  <si>
    <t>Chiquito Fistrogames</t>
  </si>
  <si>
    <t>https://sitemga.mga.games/GameLauncher/gameLauncher.jsp?game=1000131&amp;clienttype=html5&amp;mid=1</t>
  </si>
  <si>
    <t>Chiquito Halloween</t>
  </si>
  <si>
    <t>https://sitemga.mga.games/GameLauncher/gameLauncher.jsp?game=1000099&amp;clienttype=html5&amp;mid=1</t>
  </si>
  <si>
    <t>Chiquito Medieval</t>
  </si>
  <si>
    <t>https://sitemga.mga.games/GameLauncher/gameLauncher.jsp?game=1000159&amp;clienttype=html5&amp;mid=1</t>
  </si>
  <si>
    <t>PENDING CERTIFICATION: Configuration by Bet (70%-95%)</t>
  </si>
  <si>
    <t>25.19%</t>
  </si>
  <si>
    <t>Chiquito Navidad</t>
  </si>
  <si>
    <t>https://sitemga.mga.games/GameLauncher/gameLauncher.jsp?game=1000100&amp;clienttype=html5&amp;mid=1</t>
  </si>
  <si>
    <t>Chiquito Western</t>
  </si>
  <si>
    <t>https://sitemga.mga.games/GameLauncher/gameLauncher.jsp?game=1000143&amp;clienttype=html5&amp;mid=2</t>
  </si>
  <si>
    <t>Chiquito Y El Tesoro De La Pradera</t>
  </si>
  <si>
    <t>https://sitemga.mga.games/GameLauncher/gameLauncher.jsp?game=1001056&amp;clienttype=html5&amp;mid=1</t>
  </si>
  <si>
    <t>Profiles (85.36%,90.38%,95.68%)</t>
  </si>
  <si>
    <t>Chiringuito Party</t>
  </si>
  <si>
    <t>https://sitemga.mga.games/GameLauncher/gameLauncher.jsp?game=1000091&amp;clienttype=html5&amp;mid=1</t>
  </si>
  <si>
    <t>Ciclogana Con Cecilia Sopeña</t>
  </si>
  <si>
    <t>https://sitemga.mga.games/GameLauncher/gameLauncher.jsp?game=1000138&amp;clienttype=html5&amp;mid=2</t>
  </si>
  <si>
    <t>90,00%</t>
  </si>
  <si>
    <t>Circus Party</t>
  </si>
  <si>
    <t>https://sitemga.mga.games/GameLauncher/gameLauncher.jsp?game=1000089&amp;clienttype=html5&amp;mid=1</t>
  </si>
  <si>
    <t>Citas</t>
  </si>
  <si>
    <t>https://sitemga.mga.games/GameLauncher/gameLauncher.jsp?game=1000026&amp;clienttype=html5&amp;mid=1</t>
  </si>
  <si>
    <t>Csi Miami</t>
  </si>
  <si>
    <t>https://sitemga.mga.games/GameLauncher/gameLauncher.jsp?game=1000041&amp;clienttype=html5&amp;mid=1</t>
  </si>
  <si>
    <t>Don Premiote</t>
  </si>
  <si>
    <t>https://sitemga.mga.games/GameLauncher/gameLauncher.jsp?game=1000128&amp;clienttype=html5&amp;mid=2</t>
  </si>
  <si>
    <t>Dream 3 Team</t>
  </si>
  <si>
    <t>https://sitemga.mga.games/GameLauncher/gameLauncher.jsp?game=1001067&amp;clienttype=html5&amp;mid=1</t>
  </si>
  <si>
    <t>57,003.75 € (RTP 95.0%, 92.09%, 90.08%) 45,641.25 € (RTP 85.08%) 34,391.25 € (RTP 80.02%)</t>
  </si>
  <si>
    <t>x2280 (RTP 95.0%, 92.09%, 90.08%) | x1825 (RTP 85.08%) | x1375 (RTP 80.02%)</t>
  </si>
  <si>
    <t>Profiles (80.02%, 85.08%, 90.08%, 92.09%, 95.00%)</t>
  </si>
  <si>
    <t>Jax Fortune y El Amuleto Del Jaguar</t>
  </si>
  <si>
    <t>https://sitemga.mga.games/GameLauncher/gameLauncher.jsp?game=1001537&amp;clienttype=html5&amp;mid=1</t>
  </si>
  <si>
    <t>EL AMULETO DEL JAGUAR</t>
  </si>
  <si>
    <t>0.25€, 0.50€, 1.00€, 2.00€, 2.50€, 5.00€, 20.00€, 50.00€</t>
  </si>
  <si>
    <t>x1040.00</t>
  </si>
  <si>
    <t>Profiles (85.61% - 90.79% - 95.76%)</t>
  </si>
  <si>
    <t>51.55%</t>
  </si>
  <si>
    <t>El Bandido Explosivo</t>
  </si>
  <si>
    <t>https://sitemga.mga.games/GameLauncher/gameLauncher.jsp?game=1001439&amp;clienttype=html5&amp;mid=2</t>
  </si>
  <si>
    <t xml:space="preserve">0.10€, 0.20€, 0.50€, 1.00€, 2.00€, 5.00€, 10.00€, 15.00€, 20.00€, 25.00€, 50.00€ </t>
  </si>
  <si>
    <t>Profiles (90,20%, 93,50%, 95,00%)</t>
  </si>
  <si>
    <t>El Bandido Explosivo 2</t>
  </si>
  <si>
    <t>https://sitemga.mga.games/GameLauncher/gameLauncher.jsp?game=1001528&amp;clienttype=html5&amp;mid=2</t>
  </si>
  <si>
    <t xml:space="preserve">0.10€, 0.20€, 0.50€, 1€, 2€, 5€, 10€, 20€, 50€ </t>
  </si>
  <si>
    <t>Profiles (90,35%, 93,43%, 94,98%)
BonusBuy Profiles (90,21%, 93,43%, 94,80%)</t>
  </si>
  <si>
    <t>El Cartel</t>
  </si>
  <si>
    <t>https://sitemga.mga.games/GameLauncher/gameLauncher.jsp?game=1000023&amp;clienttype=html5&amp;mid=1</t>
  </si>
  <si>
    <t>El Cartel Plus</t>
  </si>
  <si>
    <t>https://sitemga.mga.games/GameLauncher/gameLauncher.jsp?game=1000067&amp;clienttype=html5&amp;mid=1</t>
  </si>
  <si>
    <t>El Cartel Plus Halloween</t>
  </si>
  <si>
    <t>https://sitemga.mga.games/GameLauncher/gameLauncher.jsp?game=1000103&amp;clienttype=html5&amp;mid=1</t>
  </si>
  <si>
    <t>El Cartel Plus Navidad</t>
  </si>
  <si>
    <t>https://sitemga.mga.games/GameLauncher/gameLauncher.jsp?game=1000104&amp;clienttype=html5&amp;mid=1</t>
  </si>
  <si>
    <t>El Dioni ¿Dónde Esta La Pasta?</t>
  </si>
  <si>
    <t>https://sitemga.mga.games/GameLauncher/gameLauncher.jsp?game=1000038&amp;clienttype=html5&amp;mid=1</t>
  </si>
  <si>
    <t>El Dioni En La Feria De Abril</t>
  </si>
  <si>
    <t>https://sitemga.mga.games/GameLauncher/gameLauncher.jsp?game=1000124&amp;clienttype=html5&amp;mid=1</t>
  </si>
  <si>
    <t>El Gato Magico</t>
  </si>
  <si>
    <t>https://sitemga.mga.games/GameLauncher/gameLauncher.jsp?game=1001273&amp;clienttype=html5&amp;mid=1</t>
  </si>
  <si>
    <t>x2500</t>
  </si>
  <si>
    <t>El Gato Magico Explosivo</t>
  </si>
  <si>
    <t>https://sitemga.mga.games/GameLauncher/gameLauncher.jsp?game=1001521&amp;clienttype=html5&amp;mid=2</t>
  </si>
  <si>
    <t>0.10€, 0.20€, 0.50€, 1€, 2€, 5€, 10€, 15€, 20€, 25€</t>
  </si>
  <si>
    <t>El Koala</t>
  </si>
  <si>
    <t>https://sitemga.mga.games/GameLauncher/gameLauncher.jsp?game=1000083&amp;clienttype=html5&amp;mid=1</t>
  </si>
  <si>
    <t>El Orbe De Poseidón</t>
  </si>
  <si>
    <t>https://sitemga.mga.games/GameLauncher/gameLauncher.jsp?game=1001533&amp;clienttype=html5&amp;mid=1</t>
  </si>
  <si>
    <t>EL ORBE DE POSEIDÓN</t>
  </si>
  <si>
    <t>€0.10</t>
  </si>
  <si>
    <t>ja</t>
  </si>
  <si>
    <t xml:space="preserve">0.10€, 0.20€, 0.50€, 1.00€, 2.00€, 5.00€, 10.00€, 20.00€, 30.00€, 50.00€ </t>
  </si>
  <si>
    <t>x2100.00</t>
  </si>
  <si>
    <t>Profiles (85,97%, 90,33%, 94,53%); Bonus Buy Profiles (85,95%, 90,77%, 94,55%)</t>
  </si>
  <si>
    <t>21.16%</t>
  </si>
  <si>
    <t>El Sevilla</t>
  </si>
  <si>
    <t>https://sitemga.mga.games/GameLauncher/gameLauncher.jsp?game=1000069&amp;clienttype=html5&amp;mid=1</t>
  </si>
  <si>
    <t>El Tesoro De Atenea</t>
  </si>
  <si>
    <t>https://sitemga.mga.games/GameLauncher/gameLauncher.jsp?game=1001507&amp;clienttype=html5&amp;mid=2</t>
  </si>
  <si>
    <t>Profiles (85,77% - 90,64% - 95,01%)
BonusBuy Profiles (85,56% - 90,9% - 94,54%)</t>
  </si>
  <si>
    <t>El Tesoro De Cleopatra</t>
  </si>
  <si>
    <t>https://sitemga.mga.games/GameLauncher/gameLauncher.jsp?game=1001213&amp;clienttype=html5&amp;mid=1</t>
  </si>
  <si>
    <t>0.10€, 0.20€, 0.50€, 1.00€, 2.00€, 3.50€, 5.00€, 7.00€, 8.00€, 10.00€</t>
  </si>
  <si>
    <t>x5500</t>
  </si>
  <si>
    <t>Profiles (86,35%, 91,05%, 92,89%, 94,99%,96,01%)</t>
  </si>
  <si>
    <t>El Tesoro De La Jungla</t>
  </si>
  <si>
    <t>https://sitemga.mga.games/GameLauncher/gameLauncher.jsp?game=1000058&amp;clienttype=html5&amp;mid=1</t>
  </si>
  <si>
    <t>El Tesoro Pirata</t>
  </si>
  <si>
    <t>https://sitemga.mga.games/GameLauncher/gameLauncher.jsp?game=1000001&amp;clienttype=html5&amp;mid=1</t>
  </si>
  <si>
    <t>x600</t>
  </si>
  <si>
    <t>El Tesoro Pirata 5000</t>
  </si>
  <si>
    <t>https://sitemga.mga.games/GameLauncher/gameLauncher.jsp?game=1000081&amp;clienttype=html5&amp;mid=1</t>
  </si>
  <si>
    <t>1€, 2€, 3€</t>
  </si>
  <si>
    <t>El Tesoro Pirata Plus</t>
  </si>
  <si>
    <t>Elsa Anka Estaca Plateada</t>
  </si>
  <si>
    <t>https://sitemga.mga.games/GameLauncher/gameLauncher.jsp?game=1001141&amp;clienttype=html5&amp;mid=1</t>
  </si>
  <si>
    <t>Profiles (86.35%, 91.05%, 92.89%, 94.99%, 96.01% )</t>
  </si>
  <si>
    <t>Escuadrón Victoria</t>
  </si>
  <si>
    <t>https://sitemga.mga.games/GameLauncher/gameLauncher.jsp?game=1000113&amp;clienttype=html5&amp;mid=1</t>
  </si>
  <si>
    <t>29.33%</t>
  </si>
  <si>
    <t>Escuela De Magia</t>
  </si>
  <si>
    <t>https://sitemga.mga.games/GameLauncher/gameLauncher.jsp?game=1000107&amp;clienttype=html5&amp;mid=1</t>
  </si>
  <si>
    <t>Escuela De Magia Golden Edition</t>
  </si>
  <si>
    <t>https://sitemga.mga.games/GameLauncher/gameLauncher.jsp?game=1000149&amp;clienttype=html5&amp;mid=1</t>
  </si>
  <si>
    <t>ESCUELA DE MAGIA GOLDEN EDITION</t>
  </si>
  <si>
    <t>€20000.00</t>
  </si>
  <si>
    <t>0.20€, 1.00€, 5.00€, 10.00€, 20.00€</t>
  </si>
  <si>
    <t>25.38%</t>
  </si>
  <si>
    <t>Espada De Camelot</t>
  </si>
  <si>
    <t>https://sitemga.mga.games/GameLauncher/gameLauncher.jsp?game=1000098&amp;clienttype=html5&amp;mid=1</t>
  </si>
  <si>
    <t>Dynamic RTP (70%-80%-90%-95%)</t>
  </si>
  <si>
    <t>Eugenio</t>
  </si>
  <si>
    <t>https://sitemga.mga.games/GameLauncher/gameLauncher.jsp?game=1000060&amp;clienttype=html5&amp;mid=1</t>
  </si>
  <si>
    <t>Fiesta De La Cerveza</t>
  </si>
  <si>
    <t>https://sitemga.mga.games/GameLauncher/gameLauncher.jsp?game=1001231&amp;clienttype=html5&amp;mid=1</t>
  </si>
  <si>
    <t>97,350.00 € (RTP 95.0%) 78,075.00 € (RTP 90.08%) 59,325.00 € (RTP 85.08%)</t>
  </si>
  <si>
    <t>x3894 (RTP 95.0%) | x3123 (RTP 90.08%) | x2373 (RTP 85.08%)</t>
  </si>
  <si>
    <t>Profiles (85.08%, 90.08%, 95.00%)</t>
  </si>
  <si>
    <t>Fiesta De Mascotas</t>
  </si>
  <si>
    <t>https://sitemga.mga.games/GameLauncher/gameLauncher.jsp?game=1000096&amp;clienttype=html5&amp;mid=1</t>
  </si>
  <si>
    <t>Flamenco Pasión</t>
  </si>
  <si>
    <t>https://sitemga.mga.games/GameLauncher/gameLauncher.jsp?game=1001370&amp;clienttype=html5&amp;mid=1</t>
  </si>
  <si>
    <t>0.25€, 0.50€, 1.00€, 2.00€, 5.00€, 7.50€, 10.00€, 15.00€, 20.00€, 25.00€</t>
  </si>
  <si>
    <t>Fonsi Nieto Deluxe Racing Life</t>
  </si>
  <si>
    <t>https://sitemga.mga.games/GameLauncher/gameLauncher.jsp?game=1001098&amp;clienttype=html5&amp;mid=2</t>
  </si>
  <si>
    <t>Profiles (86.35%, 91.0%, 92.89%, 94.99%, 96,01%)</t>
  </si>
  <si>
    <t>Galactica</t>
  </si>
  <si>
    <t>https://sitemga.mga.games/GameLauncher/gameLauncher.jsp?game=1000024&amp;clienttype=html5&amp;mid=1</t>
  </si>
  <si>
    <t>Gemma Mengual Capitana Nemo</t>
  </si>
  <si>
    <t>https://sitemga.mga.games/GameLauncher/gameLauncher.jsp?game=1001192&amp;clienttype=html5&amp;mid=1</t>
  </si>
  <si>
    <t>0.10€, 0.20€, 0.50€, 1.00€, 2.00€, 5.00€, 10.00€, 15.00€, 20.00€, 25.00€</t>
  </si>
  <si>
    <t>x1510</t>
  </si>
  <si>
    <t>Profiles (83,17%, 85,05%, 90,01%, 95,25%)</t>
  </si>
  <si>
    <t>Giro Estelar</t>
  </si>
  <si>
    <t>https://sitemga.mga.games/GameLauncher/gameLauncher.jsp?game=1001450&amp;clienttype=html5&amp;mid=2</t>
  </si>
  <si>
    <t>x1140</t>
  </si>
  <si>
    <t>Profiles (85,33%, 90,34%, 95,31%)</t>
  </si>
  <si>
    <t>Gnomos Mix</t>
  </si>
  <si>
    <t>https://sitemga.mga.games/GameLauncher/gameLauncher.jsp?game=1000059&amp;clienttype=html5&amp;mid=1</t>
  </si>
  <si>
    <t>0.20€, 1€, 5€, 10€, 20€</t>
  </si>
  <si>
    <t>Gnomos Mix Golden Edition</t>
  </si>
  <si>
    <t>https://sitemga.mga.games/GameLauncher/gameLauncher.jsp?game=1001468&amp;clienttype=html5&amp;mid=1</t>
  </si>
  <si>
    <t>Gold Mermaid By Renata Gonzalez</t>
  </si>
  <si>
    <t>https://sitemga.mga.games/GameLauncher/gameLauncher.jsp?game=1001058&amp;clienttype=html5&amp;mid=1</t>
  </si>
  <si>
    <t>Gt World Challenge By Andy Soucek</t>
  </si>
  <si>
    <t>https://sitemga.mga.games/GameLauncher/gameLauncher.jsp?game=1001059&amp;clienttype=html5&amp;mid=1</t>
  </si>
  <si>
    <t>Profiles (86.01%, 91.02%, 93.04%, 95.09%, 96.04%)</t>
  </si>
  <si>
    <t>Hawaii 5-0</t>
  </si>
  <si>
    <t>https://sitemga.mga.games/GameLauncher/gameLauncher.jsp?game=1000056&amp;clienttype=html5&amp;mid=1&amp;locale=es</t>
  </si>
  <si>
    <t>Huevos De Pascua Magicos</t>
  </si>
  <si>
    <t>https://sitemga.mga.games/GameLauncher/gameLauncher.jsp?game=1000093&amp;clienttype=html5&amp;mid=1</t>
  </si>
  <si>
    <t>Invasión Zombi</t>
  </si>
  <si>
    <t>https://sitemga.mga.games/GameLauncher/gameLauncher.jsp?game=1000118&amp;clienttype=html5&amp;mid=1</t>
  </si>
  <si>
    <t>Profiles (85.47% - 90.59% - 95.57%)</t>
  </si>
  <si>
    <t>Isla Volcano</t>
  </si>
  <si>
    <t>https://sitemga.mga.games/GameLauncher/gameLauncher.jsp?game=1000153&amp;clienttype=html5&amp;mid=1</t>
  </si>
  <si>
    <t>ISLA VOLCANO</t>
  </si>
  <si>
    <t>29.94%</t>
  </si>
  <si>
    <t>Ismael Beiro</t>
  </si>
  <si>
    <t>https://sitemga.mga.games/GameLauncher/gameLauncher.jsp?game=1000046&amp;clienttype=html5&amp;mid=1</t>
  </si>
  <si>
    <t>Jessica Weaver Queen Of The Seas</t>
  </si>
  <si>
    <t>https://sitemga.mga.games/GameLauncher/gameLauncher.jsp?game=1001064&amp;clienttype=html5&amp;mid=1</t>
  </si>
  <si>
    <t>16,275.00 € (RTP 95.05%) 16,080.00 € (RTP 93.13%, 91.02%) 13,080.00 € (RTP 85.14%, 80.13%)</t>
  </si>
  <si>
    <t>x651 (RTP 95.05%) | x643 (RTP 93.13%, 91.02%) | x523 (RTP 85.14%, 80.13%)</t>
  </si>
  <si>
    <t>Profiles (80.13%, 85.14%, 91.02%, 93.13%, 95.05%)</t>
  </si>
  <si>
    <t>Juan Muñoz</t>
  </si>
  <si>
    <t>https://sitemga.mga.games/GameLauncher/gameLauncher.jsp?game=1000074&amp;clienttype=html5&amp;mid=1</t>
  </si>
  <si>
    <t>King Africa</t>
  </si>
  <si>
    <t>https://sitemga.mga.games/GameLauncher/gameLauncher.jsp?game=1000055&amp;clienttype=html5&amp;mid=1&amp;locale=es</t>
  </si>
  <si>
    <t>La Bruja Fortuna</t>
  </si>
  <si>
    <t>https://sitemga.mga.games/GameLauncher/gameLauncher.jsp?game=1000013&amp;clienttype=html5&amp;mid=1</t>
  </si>
  <si>
    <t>La Diosa Waikiki</t>
  </si>
  <si>
    <t>https://sitemga.mga.games/GameLauncher/gameLauncher.jsp?game=1001261&amp;clienttype=html5&amp;mid=1</t>
  </si>
  <si>
    <t>x1072</t>
  </si>
  <si>
    <t>La Fortuna Del Lejano Oeste</t>
  </si>
  <si>
    <t>https://sitemga.mga.games/GameLauncher/gameLauncher.jsp?game=1000030&amp;clienttype=html5&amp;mid=1</t>
  </si>
  <si>
    <t>La Furgo Hippy</t>
  </si>
  <si>
    <t>https://sitemga.mga.games/GameLauncher/gameLauncher.jsp?game=1000016&amp;clienttype=html5&amp;mid=1</t>
  </si>
  <si>
    <t>La Gran Corona Del Rey</t>
  </si>
  <si>
    <t>https://sitemga.mga.games/GameLauncher/gameLauncher.jsp?game=1001334&amp;clienttype=html5&amp;mid=1</t>
  </si>
  <si>
    <t>32,550.00 € (RTP 95.08%) 32,160.00 € (RTP 93.22%, 90.11%) 26,160.00 € (RTP 85.64%, 80.43%)</t>
  </si>
  <si>
    <t>0.50€, 1.00€, 1.50€, 2.50€, 3.00€, 5.00€, 7.50€, 10.00€, 12.50€, 15.00€, 25.00€, 30.00€, 50.00€</t>
  </si>
  <si>
    <t>x651 (RTP 95.08%) | x643 (RTP 93.22%, 90.11%) | x523 (RTP 85.64%, 80.43%)</t>
  </si>
  <si>
    <t>Profiles (80.43%, 85.64%, 90.11%, 93.22%, 95.08%)</t>
  </si>
  <si>
    <t>La Joya Del Caribe</t>
  </si>
  <si>
    <t>https://sitemga.mga.games/GameLauncher/gameLauncher.jsp?game=1000085&amp;clienttype=html5&amp;mid=1</t>
  </si>
  <si>
    <t>0.20€, 1€, 2€, 5€,10€</t>
  </si>
  <si>
    <t>La Leyenda Del Dragon</t>
  </si>
  <si>
    <t>https://sitemga.mga.games/GameLauncher/gameLauncher.jsp?game=1000106&amp;clienttype=html5&amp;mid=2</t>
  </si>
  <si>
    <t>La Mansion Encantada</t>
  </si>
  <si>
    <t>https://sitemga.mga.games/GameLauncher/gameLauncher.jsp?game=1000033&amp;clienttype=html5&amp;mid=1</t>
  </si>
  <si>
    <t>La Mina De Diamantes Explosiva</t>
  </si>
  <si>
    <t>https://sitemga.mga.games/GameLauncher/gameLauncher.jsp?game=1001540&amp;clienttype=html5&amp;mid=1</t>
  </si>
  <si>
    <t>Profiles (90,92%, 93%, 94,44%)</t>
  </si>
  <si>
    <t>16.30%</t>
  </si>
  <si>
    <t>La Mina De Oro</t>
  </si>
  <si>
    <t>https://sitemga.mga.games/GameLauncher/gameLauncher.jsp?game=1000007&amp;clienttype=html5&amp;mid=1</t>
  </si>
  <si>
    <t>La Mina De Oro Golden Edition</t>
  </si>
  <si>
    <t>https://sitemga.mga.games/GameLauncher/gameLauncher.jsp?game=1000126&amp;clienttype=html5&amp;mid=1</t>
  </si>
  <si>
    <t>x1333</t>
  </si>
  <si>
    <t>La Mina De Oro Plus</t>
  </si>
  <si>
    <t>https://sitemga.mga.games/GameLauncher/gameLauncher.jsp?game=1000043&amp;clienttype=html5&amp;mid=2</t>
  </si>
  <si>
    <t>La Mina De Oro Plus Halloween</t>
  </si>
  <si>
    <t>https://sitemga.mga.games/GameLauncher/gameLauncher.jsp?game=1000101&amp;clienttype=html5&amp;mid=1</t>
  </si>
  <si>
    <t>La Mina De Oro Plus Navidad</t>
  </si>
  <si>
    <t>https://sitemga.mga.games/GameLauncher/gameLauncher.jsp?game=1000102&amp;clienttype=html5&amp;mid=1</t>
  </si>
  <si>
    <t>La Reina Del Nilo</t>
  </si>
  <si>
    <t>https://sitemga.mga.games/GameLauncher/gameLauncher.jsp?game=1000017&amp;clienttype=html5&amp;mid=1</t>
  </si>
  <si>
    <t>0,20€, 0,60€, 1,00€</t>
  </si>
  <si>
    <t>La Taberna</t>
  </si>
  <si>
    <t>https://sitemga.mga.games/GameLauncher/gameLauncher.jsp?game=1000011&amp;clienttype=html5&amp;mid=1</t>
  </si>
  <si>
    <t>La Taberna Golden Edition</t>
  </si>
  <si>
    <t>https://sitemga.mga.games/GameLauncher/gameLauncher.jsp?game=1000145&amp;clienttype=html5&amp;mid=2</t>
  </si>
  <si>
    <t>Profiles (70% - 80% - 90% - 95% - MULTI)</t>
  </si>
  <si>
    <t>Lago Magico</t>
  </si>
  <si>
    <t>https://sitemga.mga.games/GameLauncher/gameLauncher.jsp?game=1001219&amp;clienttype=html5&amp;mid=1</t>
  </si>
  <si>
    <t>32,550.00 € (RTP 95.05%) 32,160.00 € (RTP 93.13%, 91.02%) 26,160.00 € (RTP 85.14%, 80.13%)</t>
  </si>
  <si>
    <t>Las Riquezas De El Dorado</t>
  </si>
  <si>
    <t>https://sitemga.mga.games/GameLauncher/gameLauncher.jsp?game=1000035&amp;clienttype=html5&amp;mid=1</t>
  </si>
  <si>
    <t>Las Tres Fuerzas De El Dorado</t>
  </si>
  <si>
    <t>https://sitemga.mga.games/GameLauncher/gameLauncher.jsp?game=1001346&amp;clienttype=html5&amp;mid=1</t>
  </si>
  <si>
    <t>0.20€, 0.40€, 0.60€, 0.80€, 1€, 1.20€, 1.60€, 2€, 2.40€, 3€, 4€, 5€, 6€</t>
  </si>
  <si>
    <t>x10000</t>
  </si>
  <si>
    <t>Profiles (85,10% - 90,34% - 95,72%)</t>
  </si>
  <si>
    <t>Very high</t>
  </si>
  <si>
    <t>Lejano Oeste</t>
  </si>
  <si>
    <t>https://sitemga.mga.games/GameLauncher/gameLauncher.jsp?game=1000082&amp;clienttype=html5&amp;mid=1</t>
  </si>
  <si>
    <t>Lejano Oeste Golden Edition</t>
  </si>
  <si>
    <t>https://sitemga.mga.games/GameLauncher/gameLauncher.jsp?game=1000135&amp;clienttype=html5&amp;mid=1</t>
  </si>
  <si>
    <t>Leticia Sabater Show</t>
  </si>
  <si>
    <t>https://sitemga.mga.games/GameLauncher/gameLauncher.jsp?game=1000045&amp;clienttype=html5&amp;mid=1</t>
  </si>
  <si>
    <t>Leyendas De La Fortuna China</t>
  </si>
  <si>
    <t>https://sitemga.mga.games/GameLauncher/gameLauncher.jsp?game=1000127&amp;clienttype=html5&amp;mid=2</t>
  </si>
  <si>
    <t>Los 3 Pinguinos</t>
  </si>
  <si>
    <t>https://sitemga.mga.games/GameLauncher/gameLauncher.jsp?game=1000144&amp;clienttype=html5&amp;mid=2</t>
  </si>
  <si>
    <t>Dynamic RTP (70%-80%-90%-90%-95%)</t>
  </si>
  <si>
    <t>Los Monos Doble Bote</t>
  </si>
  <si>
    <t>https://sitemga.mga.games/GameLauncher/gameLauncher.jsp?game=1001512&amp;clienttype=html5&amp;mid=2</t>
  </si>
  <si>
    <t>0.20€, 0.40€, 1.00€, 2.00€, 3.00€, 4.00€, 5.00€, 6.00€, 8.00€, 10.00€, 15.00€, 20.00€</t>
  </si>
  <si>
    <t>Profiles (85,90% - 90,04% - 94,17%)</t>
  </si>
  <si>
    <t>Los Tres Deseos</t>
  </si>
  <si>
    <t>https://sitemga.mga.games/GameLauncher/gameLauncher.jsp?game=1000036&amp;clienttype=html5&amp;mid=1</t>
  </si>
  <si>
    <t>Los Tres Espadachines Y El Tesoro Del Castillo</t>
  </si>
  <si>
    <t>https://sitemga.mga.games/GameLauncher/gameLauncher.jsp?game=1000034&amp;clienttype=html5&amp;mid=1</t>
  </si>
  <si>
    <t>Lucia Martiño Lucky Wave</t>
  </si>
  <si>
    <t>https://sitemga.mga.games/GameLauncher/gameLauncher.jsp?game=1001102&amp;clienttype=html5&amp;mid=1&amp;locale=es</t>
  </si>
  <si>
    <t>Lucky Dragon</t>
  </si>
  <si>
    <t>https://sitemga.mga.games/GameLauncher/gameLauncher.jsp?game=1001051&amp;clienttype=html5&amp;mid=1</t>
  </si>
  <si>
    <t>Profiles((86.08%,91.05%,96.12%)</t>
  </si>
  <si>
    <t>Lucky Duende</t>
  </si>
  <si>
    <t>https://sitemga.mga.games/GameLauncher/gameLauncher.jsp?game=1000086&amp;clienttype=html5&amp;mid=1</t>
  </si>
  <si>
    <t>Lucky Player Mga</t>
  </si>
  <si>
    <t>https://sitemga.mga.games/GameLauncher/gameLauncher.jsp?game=1000123&amp;clienttype=html5&amp;mid=2</t>
  </si>
  <si>
    <t>Lucky Western</t>
  </si>
  <si>
    <t>https://sitemga.mga.games/GameLauncher/gameLauncher.jsp?game=1000094&amp;clienttype=html5&amp;mid=1</t>
  </si>
  <si>
    <t>Makoke Caza Espiritus</t>
  </si>
  <si>
    <t>https://sitemga.mga.games/GameLauncher/gameLauncher.jsp?game=1000079&amp;clienttype=html5&amp;mid=1</t>
  </si>
  <si>
    <t>Manolo El Del Bombo</t>
  </si>
  <si>
    <t>https://sitemga.mga.games/GameLauncher/gameLauncher.jsp?game=1000029&amp;clienttype=html5&amp;mid=1</t>
  </si>
  <si>
    <t>Mapa De Los Vikingos</t>
  </si>
  <si>
    <t>https://sitemga.mga.games/GameLauncher/gameLauncher.jsp?game=1001198&amp;clienttype=html5&amp;mid=1</t>
  </si>
  <si>
    <t>x2498</t>
  </si>
  <si>
    <t>Profiles (85,28%, 91,03%, 93,13%, 95,24% )</t>
  </si>
  <si>
    <t>Maria La Piedra Carnaval</t>
  </si>
  <si>
    <t>https://sitemga.mga.games/GameLauncher/gameLauncher.jsp?game=1000125&amp;clienttype=html5&amp;mid=1</t>
  </si>
  <si>
    <t>Maria La Piedra En Troya</t>
  </si>
  <si>
    <t>https://sitemga.mga.games/GameLauncher/gameLauncher.jsp?game=1000039&amp;clienttype=html5&amp;mid=1</t>
  </si>
  <si>
    <t>Mario Vaquerizo Aventura Pirata</t>
  </si>
  <si>
    <t>https://sitemga.mga.games/GameLauncher/gameLauncher.jsp?game=1000071&amp;clienttype=html5&amp;mid=1</t>
  </si>
  <si>
    <t>Mga Mix</t>
  </si>
  <si>
    <t>https://sitemga.mga.games/GameLauncher/gameLauncher.jsp?game=1000047&amp;clienttype=html5&amp;mid=1</t>
  </si>
  <si>
    <t>Minerales Mágicos</t>
  </si>
  <si>
    <t>https://sitemga.mga.games/GameLauncher/gameLauncher.jsp?game=1001495&amp;clienttype=html5&amp;mid=2</t>
  </si>
  <si>
    <t>Profiles (90,45%, 93,57%, 94,80%)
BonusBuy Profiles (90,28%, 93,57%, 94,57%)</t>
  </si>
  <si>
    <t>Mision Espacial</t>
  </si>
  <si>
    <t>https://sitemga.mga.games/GameLauncher/gameLauncher.jsp?game=1000006&amp;clienttype=html5&amp;mid=1</t>
  </si>
  <si>
    <t>Misterio Del Faraón</t>
  </si>
  <si>
    <t>https://sitemga.mga.games/GameLauncher/gameLauncher.jsp?game=1001543&amp;clienttype=html5&amp;mid=1</t>
  </si>
  <si>
    <t>x5000.00</t>
  </si>
  <si>
    <t>Profiles (90,50% - 93,01% - 94,72%)</t>
  </si>
  <si>
    <t>9.12%</t>
  </si>
  <si>
    <t>Monstronautas Cósmicos</t>
  </si>
  <si>
    <t>Mr Hacker</t>
  </si>
  <si>
    <t>https://sitemga.mga.games/GameLauncher/gameLauncher.jsp?game=1000025&amp;clienttype=html5&amp;mid=1</t>
  </si>
  <si>
    <t>Mr Magnifico</t>
  </si>
  <si>
    <t>https://sitemga.mga.games/GameLauncher/gameLauncher.jsp?game=1000005&amp;clienttype=html5&amp;mid=1</t>
  </si>
  <si>
    <t>Nika Queen Of Persia</t>
  </si>
  <si>
    <t>https://sitemga.mga.games/GameLauncher/gameLauncher.jsp?game=1001119&amp;clienttype=html5&amp;mid=1</t>
  </si>
  <si>
    <t>Olimpo De Zeus</t>
  </si>
  <si>
    <t>https://sitemga.mga.games/GameLauncher/gameLauncher.jsp?game=1001426&amp;clienttype=html5&amp;mid=1</t>
  </si>
  <si>
    <t>Profiles (85.69% - 90.15% - 95.12%)</t>
  </si>
  <si>
    <t>Oro De Atenea</t>
  </si>
  <si>
    <t>https://sitemga.mga.games/GameLauncher/gameLauncher.jsp?game=1000064&amp;clienttype=html5&amp;mid=1</t>
  </si>
  <si>
    <t>Pasapalabra</t>
  </si>
  <si>
    <t>https://sitemga.mga.games/GameLauncher/gameLauncher.jsp?game=1000084&amp;clienttype=html5&amp;mid=2</t>
  </si>
  <si>
    <t>Paulo Futre - The Last Gladiator</t>
  </si>
  <si>
    <t>https://sitemga.mga.games/GameLauncher/gameLauncher.jsp?game=1001079&amp;clienttype=html5&amp;mid=1</t>
  </si>
  <si>
    <t>Petro Fortuna</t>
  </si>
  <si>
    <t>https://sitemga.mga.games/GameLauncher/gameLauncher.jsp?game=1001382&amp;clienttype=html5&amp;mid=2</t>
  </si>
  <si>
    <t>Piratas De China</t>
  </si>
  <si>
    <t>https://sitemga.mga.games/GameLauncher/gameLauncher.jsp?game=1001522&amp;clienttype=html5&amp;mid=2</t>
  </si>
  <si>
    <t>Profiles (86,46% - 90,70% - 94,88%)
BonusBuy Profiles (85,78% - 90,91% - 94,83%)</t>
  </si>
  <si>
    <t>Pocholo</t>
  </si>
  <si>
    <t>https://sitemga.mga.games/GameLauncher/gameLauncher.jsp?game=1000053&amp;clienttype=html5&amp;mid=1&amp;locale=es</t>
  </si>
  <si>
    <t>Popeye Cazatesoros</t>
  </si>
  <si>
    <t>https://sitemga.mga.games/GameLauncher/gameLauncher.jsp?game=1000042&amp;clienttype=html5&amp;mid=1</t>
  </si>
  <si>
    <t>Rf Africa Zero</t>
  </si>
  <si>
    <t>https://sitemga.mga.games/GameLauncher/gameLauncher.jsp?game=1000112&amp;clienttype=html5&amp;mid=2</t>
  </si>
  <si>
    <t>Rf Angels</t>
  </si>
  <si>
    <t>https://sitemga.mga.games/GameLauncher/gameLauncher.jsp?game=1000061&amp;clienttype=html5&amp;mid=1</t>
  </si>
  <si>
    <t>Rf Bowling</t>
  </si>
  <si>
    <t>https://sitemga.mga.games/GameLauncher/gameLauncher.jsp?game=1000075&amp;clienttype=html5&amp;mid=2</t>
  </si>
  <si>
    <t>Rf Burlesque</t>
  </si>
  <si>
    <t>https://sitemga.mga.games/GameLauncher/gameLauncher.jsp?game=1000073&amp;clienttype=html5&amp;mid=1</t>
  </si>
  <si>
    <t>Rf Cavernícola</t>
  </si>
  <si>
    <t>https://sitemga.mga.games/GameLauncher/gameLauncher.jsp?game=1000105&amp;clienttype=html5&amp;mid=2</t>
  </si>
  <si>
    <t>Rf El Habanero</t>
  </si>
  <si>
    <t>Rf Neopolis</t>
  </si>
  <si>
    <t>https://sitemga.mga.games/GameLauncher/gameLauncher.jsp?game=1000065&amp;clienttype=html5&amp;mid=1</t>
  </si>
  <si>
    <t>Rf Neopolis Golden Edition</t>
  </si>
  <si>
    <t>https://sitemga.mga.games/GameLauncher/gameLauncher.jsp?game=1000158&amp;clienttype=html5&amp;mid=1</t>
  </si>
  <si>
    <t>24.69%</t>
  </si>
  <si>
    <t>Rf Reinas De Africa Cleopatra</t>
  </si>
  <si>
    <t>https://sitemga.mga.games/GameLauncher/gameLauncher.jsp?game=1000090&amp;clienttype=html5&amp;mid=1</t>
  </si>
  <si>
    <t>Riquezas De La Alquimia</t>
  </si>
  <si>
    <t>https://sitemga.mga.games/GameLauncher/gameLauncher.jsp?game=1001298&amp;clienttype=html5&amp;mid=1</t>
  </si>
  <si>
    <t>x2000</t>
  </si>
  <si>
    <t>Profiles (85,52%, 90,53%, 95,61%)</t>
  </si>
  <si>
    <t>Riquezas Del Faraon</t>
  </si>
  <si>
    <t>https://sitemga.mga.games/GameLauncher/gameLauncher.jsp?game=1001243&amp;clienttype=html5&amp;mid=1</t>
  </si>
  <si>
    <t>Risistas En Gansters</t>
  </si>
  <si>
    <t>https://sitemga.mga.games/GameLauncher/gameLauncher.jsp?game=1000050&amp;clienttype=html5&amp;mid=1</t>
  </si>
  <si>
    <t>Robin</t>
  </si>
  <si>
    <t>https://sitemga.mga.games/GameLauncher/gameLauncher.jsp?game=1000015&amp;clienttype=html5&amp;mid=1</t>
  </si>
  <si>
    <t>Roma</t>
  </si>
  <si>
    <t>https://sitemga.mga.games/GameLauncher/gameLauncher.jsp?game=1000003&amp;clienttype=html5&amp;mid=1</t>
  </si>
  <si>
    <t>Roma Plus</t>
  </si>
  <si>
    <t>https://sitemga.mga.games/GameLauncher/gameLauncher.jsp?game=1000072&amp;clienttype=html5&amp;mid=2</t>
  </si>
  <si>
    <t>Royal Bank Golden Edition</t>
  </si>
  <si>
    <t>https://sitemga.mga.games/GameLauncher/gameLauncher.jsp?game=1000111&amp;clienttype=html5&amp;mid=2</t>
  </si>
  <si>
    <t>Samantha Fox</t>
  </si>
  <si>
    <t>https://sitemga.mga.games/GameLauncher/gameLauncher.jsp?game=1001066&amp;clienttype=html5&amp;mid=1</t>
  </si>
  <si>
    <t>95,08%</t>
  </si>
  <si>
    <t>Samantha Fox Arcade</t>
  </si>
  <si>
    <t>https://sitemga.mga.games/GameLauncher/gameLauncher.jsp?game=1000076&amp;clienttype=html5&amp;mid=1</t>
  </si>
  <si>
    <t>Sandro Rey</t>
  </si>
  <si>
    <t>https://sitemga.mga.games/GameLauncher/gameLauncher.jsp?game=1001068&amp;clienttype=html5&amp;mid=1</t>
  </si>
  <si>
    <t>14,765.00 € (RTP 95.04%, 92.03%, 90.06%) 14,715.00 € (RTP 85.0%) 14,506.25 € (RTP 80.01%)</t>
  </si>
  <si>
    <t>Santa Fe Mix</t>
  </si>
  <si>
    <t>https://sitemga.mga.games/GameLauncher/gameLauncher.jsp?game=1000057&amp;clienttype=html5&amp;mid=2</t>
  </si>
  <si>
    <t>Santa Fe Mix Golden Edition</t>
  </si>
  <si>
    <t>https://sitemga.mga.games/GameLauncher/gameLauncher.jsp?game=1000147&amp;clienttype=html5&amp;mid=2</t>
  </si>
  <si>
    <t>Sirenas De La Suerte</t>
  </si>
  <si>
    <t>https://sitemga.mga.games/GameLauncher/gameLauncher.jsp?game=1000019&amp;clienttype=html5&amp;mid=1</t>
  </si>
  <si>
    <t>Sonia Monroy El Planeta De Las Gemas</t>
  </si>
  <si>
    <t>https://sitemga.mga.games/GameLauncher/gameLauncher.jsp?game=1001147&amp;clienttype=html5&amp;mid=1</t>
  </si>
  <si>
    <t>97,350.00 € (RTP 95.0%, 92.09%, 90.08%) 78,075.00 € (RTP 85.08%) 59,325.00 € (RTP 80.02%)</t>
  </si>
  <si>
    <t>x3894 (RTP 95.0%, 92.09%, 90.08%) | x3123 (RTP 85.08%) | x2373 (RTP 80.02%)</t>
  </si>
  <si>
    <t>Sonia Monroy En El Planeta Halloween</t>
  </si>
  <si>
    <t>https://sitemga.mga.games/GameLauncher/gameLauncher.jsp?game=1001304&amp;clienttype=html5&amp;mid=1</t>
  </si>
  <si>
    <t>Sonia Monroy En El Planeta Navidad</t>
  </si>
  <si>
    <t>https://sitemga.mga.games/GameLauncher/gameLauncher.jsp?game=1001310&amp;clienttype=html5&amp;mid=1</t>
  </si>
  <si>
    <t>Super Detectives</t>
  </si>
  <si>
    <t>https://sitemga.mga.games/GameLauncher/gameLauncher.jsp?game=1000037&amp;clienttype=html5&amp;mid=1</t>
  </si>
  <si>
    <t>Tiki Paradise</t>
  </si>
  <si>
    <t>https://sitemga.mga.games/GameLauncher/gameLauncher.jsp?game=1000130&amp;clienttype=html5&amp;mid=2</t>
  </si>
  <si>
    <t>Venecia De La Suerte</t>
  </si>
  <si>
    <t>https://sitemga.mga.games/GameLauncher/gameLauncher.jsp?game=1001237&amp;clienttype=html5&amp;mid=1</t>
  </si>
  <si>
    <t>x6000</t>
  </si>
  <si>
    <t>Vikingos Gold</t>
  </si>
  <si>
    <t>https://sitemga.mga.games/GameLauncher/gameLauncher.jsp?game=1000022&amp;clienttype=html5&amp;mid=1</t>
  </si>
  <si>
    <t>Vikingos Gold Plus</t>
  </si>
  <si>
    <t>https://sitemga.mga.games/GameLauncher/gameLauncher.jsp?game=1000070&amp;clienttype=html5&amp;mid=1</t>
  </si>
  <si>
    <t>Viva La Fiesta En Mexico</t>
  </si>
  <si>
    <t>https://sitemga.mga.games/GameLauncher/gameLauncher.jsp?game=1000110&amp;clienttype=html5&amp;mid=1</t>
  </si>
  <si>
    <t>Volcano</t>
  </si>
  <si>
    <t>https://sitemga.mga.games/GameLauncher/gameLauncher.jsp?game=1000018&amp;clienttype=html5&amp;mid=1</t>
  </si>
  <si>
    <t>Wild Africa</t>
  </si>
  <si>
    <t>https://sitemga.mga.games/GameLauncher/gameLauncher.jsp?game=1001054&amp;clienttype=html5&amp;mid=1</t>
  </si>
  <si>
    <t>0.20 €, 0.60 €, 1.00 €, 2.00 €, 5.00 €, 8.00 €, 10.00 €, 15.00 €, 20.00 €, 25.00 €</t>
  </si>
  <si>
    <t>Profiles(86.05% , 90.75%, 95.96%)</t>
  </si>
  <si>
    <t>Yohanna Alonso Vikings Conquest</t>
  </si>
  <si>
    <t>https://sitemga.mga.games/GameLauncher/gameLauncher.jsp?game=1001071&amp;clienttype=html5&amp;mid=2&amp;locale=es</t>
  </si>
  <si>
    <t>26,800.00 € (RTP 80.0%, 83.06%, 85.13%, 90.37%, 95.17%) 37,750.00 € (RTP 80.15%, 83.17%, 85.05%, 90.1%, 95.25%, 80.31%, 83.11%, 85.3%, 90.58%, 95.4%)</t>
  </si>
  <si>
    <t>x1072 (RTP 80.0%, 83.06%, 85.13%, 90.37%, 95.17%) | x1510 (RTP 80.15%, 83.17%, 85.05%, 90.1%, 95.25%, 80.31%, 83.11%, 85.3%, 90.58%, 95.4%)</t>
  </si>
  <si>
    <t>Profiles (80.00%, 80.15%, 80.31%, 83.06%, 83.11%, 83.17%, 85.05%, 85.13%, 85.30%, 90.10%, 90.37%, 90.58%, 95.17%, 95.25%, 95.40%)</t>
  </si>
  <si>
    <t>Yola Berrocal Mision Espacial 2</t>
  </si>
  <si>
    <t>https://sitemga.mga.games/GameLauncher/gameLauncher.jsp?game=1000151&amp;clienttype=html5&amp;mid=2</t>
  </si>
  <si>
    <t>Yola Berrocal Wild West</t>
  </si>
  <si>
    <t>https://sitemga.mga.games/GameLauncher/gameLauncher.jsp?game=1001069&amp;clienttype=html5&amp;mid=1</t>
  </si>
  <si>
    <t>91,02%</t>
  </si>
  <si>
    <t>Zeus Fortuna</t>
  </si>
  <si>
    <t>https://sitemga.mga.games/GameLauncher/gameLauncher.jsp?game=1000088&amp;clienttype=html5&amp;mid=1</t>
  </si>
  <si>
    <t>Arabian Bingo</t>
  </si>
  <si>
    <t>VIDEO BINGO</t>
  </si>
  <si>
    <t>https://sitemga.mga.games/GameLauncher/gameLauncher.jsp?game=1001020&amp;clienttype=html5&amp;mid=2</t>
  </si>
  <si>
    <t>NA</t>
  </si>
  <si>
    <t>0.08€, 0.20€, 0.40€, 0.80€, 2.00€, 4.00€, 8.00€, 14.00€, 20.00€, 30.00€</t>
  </si>
  <si>
    <t>x625</t>
  </si>
  <si>
    <t>89,83%</t>
  </si>
  <si>
    <t>Beach Bingo</t>
  </si>
  <si>
    <t>https://sitemga.mga.games/GameLauncher/gameLauncher.jsp?game=1001025&amp;clienttype=html5&amp;mid=1</t>
  </si>
  <si>
    <t>90,94%</t>
  </si>
  <si>
    <t>Bicho Farm Bingo</t>
  </si>
  <si>
    <t>https://sitemga.mga.games/GameLauncher/gameLauncher.jsp?game=1001037&amp;clienttype=html5&amp;mid=2</t>
  </si>
  <si>
    <t>x375</t>
  </si>
  <si>
    <t>91,42%</t>
  </si>
  <si>
    <t>Bikers Bingo</t>
  </si>
  <si>
    <t>https://sitemga.mga.games/GameLauncher/gameLauncher.jsp?game=1001043&amp;clienttype=html5&amp;mid=1</t>
  </si>
  <si>
    <t>90,14%</t>
  </si>
  <si>
    <t>Buffalo Bingo</t>
  </si>
  <si>
    <t>https://sitemga.mga.games/GameLauncher/gameLauncher.jsp?game=1001053&amp;clienttype=html5&amp;mid=1</t>
  </si>
  <si>
    <t>90,64%</t>
  </si>
  <si>
    <t>Calaca Party Bingo</t>
  </si>
  <si>
    <t>https://sitemga.mga.games/GameLauncher/gameLauncher.jsp?game=1001062&amp;clienttype=html5&amp;mid=1</t>
  </si>
  <si>
    <t>Candy Bingo</t>
  </si>
  <si>
    <t>https://sitemga.mga.games/GameLauncher/gameLauncher.jsp?game=1001012&amp;clienttype=html5&amp;mid=1</t>
  </si>
  <si>
    <t>90,86%</t>
  </si>
  <si>
    <t>Carnaval Bingo</t>
  </si>
  <si>
    <t>https://sitemga.mga.games/GameLauncher/gameLauncher.jsp?game=1001018&amp;clienttype=html5&amp;mid=2</t>
  </si>
  <si>
    <t>89,89%</t>
  </si>
  <si>
    <t>Casino Bingo</t>
  </si>
  <si>
    <t>https://sitemga.mga.games/GameLauncher/gameLauncher.jsp?game=1001024&amp;clienttype=html5&amp;mid=2</t>
  </si>
  <si>
    <t>90,33%</t>
  </si>
  <si>
    <t>Castle Bingo</t>
  </si>
  <si>
    <t>https://sitemga.mga.games/GameLauncher/gameLauncher.jsp?game=1001026&amp;clienttype=html5&amp;mid=1</t>
  </si>
  <si>
    <t>89,95%</t>
  </si>
  <si>
    <t>Caveman Bingo</t>
  </si>
  <si>
    <t>https://sitemga.mga.games/GameLauncher/gameLauncher.jsp?game=1001035&amp;clienttype=html5&amp;mid=1</t>
  </si>
  <si>
    <t>90,89%</t>
  </si>
  <si>
    <t>Champions Bingo</t>
  </si>
  <si>
    <t>https://sitemga.mga.games/GameLauncher/gameLauncher.jsp?game=1001042&amp;clienttype=html5&amp;mid=1</t>
  </si>
  <si>
    <t>88,23%</t>
  </si>
  <si>
    <t>Circus Bingo</t>
  </si>
  <si>
    <t>https://sitemga.mga.games/GameLauncher/gameLauncher.jsp?game=1001014&amp;clienttype=html5&amp;mid=1</t>
  </si>
  <si>
    <t>90,65%</t>
  </si>
  <si>
    <t>Classic Cars Deluxe Bingo</t>
  </si>
  <si>
    <t>https://sitemga.mga.games/GameLauncher/gameLauncher.jsp?game=1001001&amp;clienttype=html5&amp;mid=1</t>
  </si>
  <si>
    <t>90,53%</t>
  </si>
  <si>
    <t>Cleopatra Bingo</t>
  </si>
  <si>
    <t>https://sitemga.mga.games/GameLauncher/gameLauncher.jsp?game=1001038&amp;clienttype=html5&amp;mid=1</t>
  </si>
  <si>
    <t>89,47%</t>
  </si>
  <si>
    <t>Cocktails Bingo</t>
  </si>
  <si>
    <t>https://sitemga.mga.games/GameLauncher/gameLauncher.jsp?game=1001027&amp;clienttype=html5&amp;mid=1</t>
  </si>
  <si>
    <t>90,07%</t>
  </si>
  <si>
    <t>Cup Cakes Bingo</t>
  </si>
  <si>
    <t>https://sitemga.mga.games/GameLauncher/gameLauncher.jsp?game=1001003&amp;clienttype=html5&amp;mid=1</t>
  </si>
  <si>
    <t>0.01€, 0.02€, 0.05€, 0.10€, 0.20€, 0.50€</t>
  </si>
  <si>
    <t>90,04%</t>
  </si>
  <si>
    <t>Detective Bingo</t>
  </si>
  <si>
    <t>https://sitemga.mga.games/GameLauncher/gameLauncher.jsp?game=1001039&amp;clienttype=html5&amp;mid=1</t>
  </si>
  <si>
    <t>89,77%</t>
  </si>
  <si>
    <t>Diamonds Bingo</t>
  </si>
  <si>
    <t>https://sitemga.mga.games/GameLauncher/gameLauncher.jsp?game=1001028&amp;clienttype=html5&amp;mid=1</t>
  </si>
  <si>
    <t>89,37%</t>
  </si>
  <si>
    <t>Disco Bingo</t>
  </si>
  <si>
    <t>https://sitemga.mga.games/GameLauncher/gameLauncher.jsp?game=1001023&amp;clienttype=html5&amp;mid=1</t>
  </si>
  <si>
    <t>90,27%</t>
  </si>
  <si>
    <t>El Secreto De Las Piramides Bingo</t>
  </si>
  <si>
    <t>https://sitemga.mga.games/GameLauncher/gameLauncher.jsp?game=1001394&amp;clienttype=html5&amp;mid=1</t>
  </si>
  <si>
    <t>90,80%</t>
  </si>
  <si>
    <t>Fashion Bingo</t>
  </si>
  <si>
    <t>https://sitemga.mga.games/GameLauncher/gameLauncher.jsp?game=1001022&amp;clienttype=html5&amp;mid=2</t>
  </si>
  <si>
    <t>90,63%</t>
  </si>
  <si>
    <t>Golden Lucky Cat Bingo</t>
  </si>
  <si>
    <t>https://sitemga.mga.games/GameLauncher/gameLauncher.jsp?game=1001063&amp;clienttype=html5&amp;mid=1</t>
  </si>
  <si>
    <t>91,50%</t>
  </si>
  <si>
    <t>Hollywood Bingo</t>
  </si>
  <si>
    <t>https://sitemga.mga.games/GameLauncher/gameLauncher.jsp?game=1001015&amp;clienttype=html5&amp;mid=1</t>
  </si>
  <si>
    <t>89,82%</t>
  </si>
  <si>
    <t>Lejano Oeste Bingo</t>
  </si>
  <si>
    <t>https://sitemga.mga.games/GameLauncher/gameLauncher.jsp?game=1001397&amp;clienttype=html5&amp;mid=2</t>
  </si>
  <si>
    <t>VideoBingos</t>
  </si>
  <si>
    <t>Card15</t>
  </si>
  <si>
    <t>Llanuras Salvajes Bingo</t>
  </si>
  <si>
    <t>https://sitemga.mga.games/GameLauncher/gameLauncher.jsp?game=1001395&amp;clienttype=html5&amp;mid=1</t>
  </si>
  <si>
    <t>Magician Bingo</t>
  </si>
  <si>
    <t>https://sitemga.mga.games/GameLauncher/gameLauncher.jsp?game=1001033&amp;clienttype=html5&amp;mid=1</t>
  </si>
  <si>
    <t>90,88%</t>
  </si>
  <si>
    <t>Mariachis Bingo</t>
  </si>
  <si>
    <t>https://sitemga.mga.games/GameLauncher/gameLauncher.jsp?game=1001032&amp;clienttype=html5&amp;mid=1</t>
  </si>
  <si>
    <t>90,54%</t>
  </si>
  <si>
    <t>Mina De Oro Bingo</t>
  </si>
  <si>
    <t>https://sitemga.mga.games/GameLauncher/gameLauncher.jsp?game=1001396&amp;clienttype=html5&amp;mid=2</t>
  </si>
  <si>
    <t>N/A</t>
  </si>
  <si>
    <t>91,51%</t>
  </si>
  <si>
    <t>Monsters Bingo</t>
  </si>
  <si>
    <t>https://sitemga.mga.games/GameLauncher/gameLauncher.jsp?game=1001013&amp;clienttype=html5&amp;mid=1</t>
  </si>
  <si>
    <t>Rock Live Bingo</t>
  </si>
  <si>
    <t>https://sitemga.mga.games/GameLauncher/gameLauncher.jsp?game=1001052&amp;clienttype=html5&amp;mid=1</t>
  </si>
  <si>
    <t>91,27%</t>
  </si>
  <si>
    <t>Roma Bingo</t>
  </si>
  <si>
    <t>https://sitemga.mga.games/GameLauncher/gameLauncher.jsp?game=1001005&amp;clienttype=html5&amp;mid=1</t>
  </si>
  <si>
    <t>90,23%</t>
  </si>
  <si>
    <t>Royal Bank Bingo</t>
  </si>
  <si>
    <t>https://sitemga.mga.games/GameLauncher/gameLauncher.jsp?game=1001549&amp;clienttype=html5&amp;mid=1</t>
  </si>
  <si>
    <t>PENDING CERTIFICATION: 90.66%</t>
  </si>
  <si>
    <t>11.21%</t>
  </si>
  <si>
    <t>Sea Bingo</t>
  </si>
  <si>
    <t>https://sitemga.mga.games/GameLauncher/gameLauncher.jsp?game=1001041&amp;clienttype=html5&amp;mid=1</t>
  </si>
  <si>
    <t>Sunken City Bingo</t>
  </si>
  <si>
    <t>https://sitemga.mga.games/GameLauncher/gameLauncher.jsp?game=1001048&amp;clienttype=html5&amp;mid=2</t>
  </si>
  <si>
    <t>Sweet Home Bingo</t>
  </si>
  <si>
    <t>https://sitemga.mga.games/GameLauncher/gameLauncher.jsp?game=1001044&amp;clienttype=html5&amp;mid=1</t>
  </si>
  <si>
    <t>91,11%</t>
  </si>
  <si>
    <t>Vikings Bingo</t>
  </si>
  <si>
    <t>https://sitemga.mga.games/GameLauncher/gameLauncher.jsp?game=1001036&amp;clienttype=html5&amp;mid=1</t>
  </si>
  <si>
    <t>Zeus Bingo</t>
  </si>
  <si>
    <t>https://sitemga.mga.games/GameLauncher/gameLauncher.jsp?game=1001034&amp;clienttype=html5&amp;mid=1</t>
  </si>
  <si>
    <t>90,45%</t>
  </si>
  <si>
    <t>Ruleta Magic Red</t>
  </si>
  <si>
    <t>ROULETTE</t>
  </si>
  <si>
    <t>TBC</t>
  </si>
  <si>
    <t>https://sitemga.mga.games/GameLauncher/gameLauncher.jsp?game=2000001&amp;clienttype=html5&amp;mid=2</t>
  </si>
  <si>
    <t>~</t>
  </si>
  <si>
    <t>0.10€, 0.20€, 1.00€, 2.00€, 5.00€, 10.00€, 50.00€, 100.00€, 500.00€</t>
  </si>
  <si>
    <t>97,30%</t>
  </si>
  <si>
    <t>Ruleta Grand Croupier María Lapiedra</t>
  </si>
  <si>
    <t>https://sitemga.mga.games/GameLauncher/gameLauncher.jsp?game=1001106&amp;clienttype=html5&amp;mid=2</t>
  </si>
  <si>
    <t>x14</t>
  </si>
  <si>
    <t>Ruleta Grand Croupier Chiquito</t>
  </si>
  <si>
    <t>https://sitemga.mga.games/GameLauncher/gameLauncher.jsp?game=1001089&amp;clienttype=html5&amp;mid=2</t>
  </si>
  <si>
    <t>Ruleta Grand Croupier Sonia Monroy</t>
  </si>
  <si>
    <t>https://sitemga.mga.games/GameLauncher/gameLauncher.jsp?game=1001104&amp;clienttype=html5&amp;mid=2</t>
  </si>
  <si>
    <t>Ruleta Grand Croupier El Dioni</t>
  </si>
  <si>
    <t>https://sitemga.mga.games/GameLauncher/gameLauncher.jsp?game=1001105&amp;clienttype=html5&amp;mid=2</t>
  </si>
  <si>
    <t>Ruleta Grand Croupier Sc</t>
  </si>
  <si>
    <t>https://sitemga.mga.games/GameLauncher/gameLauncher.jsp?game=1001104&amp;clienttype=html5&amp;mid=1</t>
  </si>
  <si>
    <t>Certificate Code</t>
  </si>
  <si>
    <t>Min Bet ()</t>
  </si>
  <si>
    <t>Max Bet ()</t>
  </si>
  <si>
    <t>Default Bet ()</t>
  </si>
  <si>
    <t>Max Exposure ()</t>
  </si>
  <si>
    <t>Chip Sizes (EUR)</t>
  </si>
  <si>
    <t>777 Quente Megaways</t>
  </si>
  <si>
    <t>https://sitemga.mga.games/GameLauncher/gameLauncher.jsp?game=1001175&amp;clienttype=html5&amp;mid=1</t>
  </si>
  <si>
    <t>E235549FSSPRTM</t>
  </si>
  <si>
    <t>14,401.00  (RTP 90.62%) 12,800.00  (RTP 85.36%, 83.55%) 16,000.00  (RTP 95.47%)</t>
  </si>
  <si>
    <t>0.20, 0.40, 0.60, 1.00, 1.20, 1.40, 1.80, 2.00, 3.00, 5.00, 6.00, 7.00, 9.00, 10.00</t>
  </si>
  <si>
    <t>Campeao Do Boxe</t>
  </si>
  <si>
    <t>https://sitemga.mga.games/GameLauncher/gameLauncher.jsp?game=1001127&amp;clienttype=html5&amp;mid=1</t>
  </si>
  <si>
    <t>E2210796FSSPRTM</t>
  </si>
  <si>
    <t>12,800.00  (RTP 83.59%, 85.46%) 16,000.00  (RTP 95.53%) 14,401.00  (RTP 90.6%)</t>
  </si>
  <si>
    <t>Delicias Do Chef Megaways</t>
  </si>
  <si>
    <t>https://sitemga.mga.games/GameLauncher/gameLauncher.jsp?game=1001445&amp;clienttype=html5&amp;mid=1</t>
  </si>
  <si>
    <t>E251824FSSPRTM</t>
  </si>
  <si>
    <t>Doce Fortuna Megaways</t>
  </si>
  <si>
    <t>https://sitemga.mga.games/GameLauncher/gameLauncher.jsp?game=1001415&amp;clienttype=html5&amp;mid=1</t>
  </si>
  <si>
    <t>E258558FSSPRTM</t>
  </si>
  <si>
    <t>Feiticeiro Do Fogo</t>
  </si>
  <si>
    <t>https://sitemga.mga.games/GameLauncher/gameLauncher.jsp?game=1001144&amp;clienttype=html5&amp;mid=1</t>
  </si>
  <si>
    <t>E2214685FSSPRTM</t>
  </si>
  <si>
    <t>16,000.00  (RTP 95.17%) 14,401.00  (RTP 90.26%) 12,800.00  (RTP 83.27%, 85.09%)</t>
  </si>
  <si>
    <t>Leva-Te O Dinheiro Megaways</t>
  </si>
  <si>
    <t>https://sitemga.mga.games/GameLauncher/gameLauncher.jsp?game=1001377&amp;clienttype=html5&amp;mid=1</t>
  </si>
  <si>
    <t>E2411034FSSPRTM</t>
  </si>
  <si>
    <t>Mar Dourado Megaways</t>
  </si>
  <si>
    <t>https://sitemga.mga.games/GameLauncher/gameLauncher.jsp?game=1001455&amp;clienttype=html5&amp;mid=2</t>
  </si>
  <si>
    <t>E2316878FSSPRTM</t>
  </si>
  <si>
    <t>0.20, 0.40, 0.60, 1.00, 1.40, 2.00, 3.00, 4.00, 5.00, 6.00, 7.00, 10.00, 14.00, 20.00</t>
  </si>
  <si>
    <t>https://sitemga.mga.games/GameLauncher/gameLauncher.jsp?game=1001501&amp;clienttype=html5&amp;mid=1</t>
  </si>
  <si>
    <t>E2531627FSSPRTM</t>
  </si>
  <si>
    <t>25000.00</t>
  </si>
  <si>
    <t>Mina De Ouro Mania Megaways</t>
  </si>
  <si>
    <t>https://sitemga.mga.games/GameLauncher/gameLauncher.jsp?game=1001250&amp;clienttype=html5&amp;mid=1</t>
  </si>
  <si>
    <t>E244827FSSPRTM</t>
  </si>
  <si>
    <t>Segredos Da Pérsia Megaways</t>
  </si>
  <si>
    <t>https://sitemga.mga.games/GameLauncher/gameLauncher.jsp?game=1001474&amp;clienttype=html5&amp;mid=1</t>
  </si>
  <si>
    <t>E2416400FSSPRTM</t>
  </si>
  <si>
    <t>Velho Oeste Mania Megaways</t>
  </si>
  <si>
    <t>https://sitemga.mga.games/GameLauncher/gameLauncher.jsp?game=1001292&amp;clienttype=html5&amp;mid=1</t>
  </si>
  <si>
    <t>E241233FSSPRTM</t>
  </si>
  <si>
    <t>A Mina De Ouro Golden Edition</t>
  </si>
  <si>
    <t>https://sitemga.mga.games/GameLauncher/gameLauncher.jsp?game=1000140&amp;clienttype=html5&amp;mid=1</t>
  </si>
  <si>
    <t>E247597FSSPRTM</t>
  </si>
  <si>
    <t>0.20, 1, 5, 10, 20</t>
  </si>
  <si>
    <t>A Mina De Ouro Plus</t>
  </si>
  <si>
    <t>https://sitemga.mga.games/GameLauncher/gameLauncher.jsp?game=1000063&amp;clienttype=html5&amp;mid=1</t>
  </si>
  <si>
    <t>E222084FSSPRTM</t>
  </si>
  <si>
    <t>0.20, 1, 5, 10, 15</t>
  </si>
  <si>
    <t>A Taberna Golden Edition</t>
  </si>
  <si>
    <t>https://sitemga.mga.games/GameLauncher/gameLauncher.jsp?game=1000146&amp;clienttype=html5&amp;mid=1</t>
  </si>
  <si>
    <t>E2512902FSSPRTM</t>
  </si>
  <si>
    <t>Africa Zero</t>
  </si>
  <si>
    <t>https://sitemga.mga.games/GameLauncher/gameLauncher.jsp?game=1000136&amp;clienttype=html5&amp;mid=1</t>
  </si>
  <si>
    <t>E245401FSSPRTM</t>
  </si>
  <si>
    <t>Ana Catharina Cleópatra</t>
  </si>
  <si>
    <t>https://sitemga.mga.games/GameLauncher/gameLauncher.jsp?game=1001214&amp;clienttype=html5&amp;mid=1</t>
  </si>
  <si>
    <t>E217316FSSPRTM</t>
  </si>
  <si>
    <t>0.20, 0.40, 0.60, 0.80, 1.00, 1.20, 1.60, 2.00, 3.00, 4.00, 5.00, 6.00, 8.00, 10.00, 12.00, 15.00, 16.00, 20.00, 25.00</t>
  </si>
  <si>
    <t>x590</t>
  </si>
  <si>
    <t>Profiles(80.01%,85.00%,90,06%,92.03%,95.04%)</t>
  </si>
  <si>
    <t>Andreia Silva Rainha Do Gelo</t>
  </si>
  <si>
    <t>https://sitemga.mga.games/GameLauncher/gameLauncher.jsp?game=1001187&amp;clienttype=html5&amp;mid=1</t>
  </si>
  <si>
    <t>E236475FSSPRTM</t>
  </si>
  <si>
    <t>0.30, 0.60, 0.90, 1.20, 1.50, 1.80, 2.40, 3.00, 4.50, 6.00</t>
  </si>
  <si>
    <t>Avalanche Selvagem</t>
  </si>
  <si>
    <t>https://sitemga.mga.games/GameLauncher/gameLauncher.jsp?game=1001484&amp;clienttype=html5&amp;mid=1</t>
  </si>
  <si>
    <t>E2414336FSSPRTM</t>
  </si>
  <si>
    <t>0.10, 0.20, 0.50, 1.00, 2.00, 5.00, 10.00, 20.00</t>
  </si>
  <si>
    <t>Beatriz Moniz Estaca Prateada</t>
  </si>
  <si>
    <t>https://sitemga.mga.games/GameLauncher/gameLauncher.jsp?game=1001142&amp;clienttype=html5&amp;mid=1</t>
  </si>
  <si>
    <t>E2214620FSSPRTM</t>
  </si>
  <si>
    <t>0.10, 0.20, 0.50, 1.00, 2.00, 3.50, 5.00, 7.00, 8.00, 10.00</t>
  </si>
  <si>
    <t>Bowling</t>
  </si>
  <si>
    <t>https://sitemga.mga.games/GameLauncher/gameLauncher.jsp?game=1000122&amp;clienttype=html5&amp;mid=1</t>
  </si>
  <si>
    <t>E2312609FSSPRTM</t>
  </si>
  <si>
    <t>Carnaval De Lendas Míticas</t>
  </si>
  <si>
    <t>https://sitemga.mga.games/GameLauncher/gameLauncher.jsp?game=1001491&amp;clienttype=html5&amp;mid=1</t>
  </si>
  <si>
    <t>E2417371FSSPRTM</t>
  </si>
  <si>
    <t>0.25, 0.50, 1.00, 2.00, 2.50, 5.00, 10.00, 15.00, 20.00, 25.00</t>
  </si>
  <si>
    <t>Carolina Mendes Lucky Wave</t>
  </si>
  <si>
    <t>https://sitemga.mga.games/GameLauncher/gameLauncher.jsp?game=1001108&amp;clienttype=html5&amp;mid=1</t>
  </si>
  <si>
    <t>E22745FSSPRTM</t>
  </si>
  <si>
    <t>16,275.00  (RTP 95.05%) 16,080.00  (RTP 93.13%, 91.02%) 13,080.00  (RTP 85.14%, 80.13%)</t>
  </si>
  <si>
    <t>Chef Chakall Vikings Conquest</t>
  </si>
  <si>
    <t>https://sitemga.mga.games/GameLauncher/gameLauncher.jsp?game=1001074&amp;clienttype=html5&amp;mid=1</t>
  </si>
  <si>
    <t>E215960FSSPRTM</t>
  </si>
  <si>
    <t>26,800.00  (RTP 80.0%, 83.06%, 85.13%, 90.37%, 95.17%) 37,750.00  (RTP 80.15%, 83.17%, 85.05%, 90.1%, 95.25%, 80.31%, 83.11%, 85.3%, 90.58%, 95.4%)</t>
  </si>
  <si>
    <t>0.10, 0.20, 0.50, 1.00, 2.00, 5.00, 10.00, 15.00, 20.00, 25.00</t>
  </si>
  <si>
    <t>https://sitemga.mga.games/GameLauncher/gameLauncher.jsp?game=1000052&amp;clienttype=html5&amp;mid=1</t>
  </si>
  <si>
    <t>E211835FSSPRTM</t>
  </si>
  <si>
    <t>Deus Dos Mares</t>
  </si>
  <si>
    <t>https://sitemga.mga.games/GameLauncher/gameLauncher.jsp?game=1001117&amp;clienttype=html5&amp;mid=1</t>
  </si>
  <si>
    <t>E225757FSSPRTM</t>
  </si>
  <si>
    <t>0.20, 0.40, 0.60, 0.80, 1.00, 1.20, 1.60, 2.00,
3.00, 4.00, 5.00, 6.00, 8.00, 10.00, 12.00, 15.00, 16.00, 20.00, 25.00</t>
  </si>
  <si>
    <t>Profiles (85.02%, 91%, 93.06%, 95.01%)</t>
  </si>
  <si>
    <t>Diego Miranda In Session</t>
  </si>
  <si>
    <t>https://sitemga.mga.games/GameLauncher/gameLauncher.jsp?game=1001092&amp;clienttype=html5&amp;mid=1</t>
  </si>
  <si>
    <t>E2110604FSSPRTM</t>
  </si>
  <si>
    <t>12,150.00  (RTP 83.1%, 85.8%, 90.05%, 95.23%) 29,160.00  (RTP 83.83%, 85.33%, 90.22%) 34,020.00  (RTP 95.41%) 72,900.00  (RTP 83.47%, 85.18%, 90.66%, 95.77%)</t>
  </si>
  <si>
    <t>https://sitemga.mga.games/GameLauncher/gameLauncher.jsp?game=1001077&amp;clienttype=html5&amp;mid=1</t>
  </si>
  <si>
    <t>E211554FSSPRTM</t>
  </si>
  <si>
    <t>57,003.75  (RTP 95.0%, 92.09%, 90.08%) 45,641.25  (RTP 85.08%) 34,391.25  (RTP 80.02%)</t>
  </si>
  <si>
    <t>0.20, 0.60, 1.00, 2.00, 5.00, 8.00, 10.00, 15.00, 20.00, 25.00</t>
  </si>
  <si>
    <t>Elisabete Moutinho Capitã Nemo</t>
  </si>
  <si>
    <t>https://sitemga.mga.games/GameLauncher/gameLauncher.jsp?game=1001193&amp;clienttype=html5&amp;mid=1</t>
  </si>
  <si>
    <t>E238086FSSPRTM</t>
  </si>
  <si>
    <t>Explosive Diamond Mine</t>
  </si>
  <si>
    <t>https://sitemga.mga.games/GameLauncher/gameLauncher.jsp?game=1001541&amp;clienttype=html5&amp;mid=1</t>
  </si>
  <si>
    <t> </t>
  </si>
  <si>
    <t>Profiles (90,84% - 93% - 94,44%)</t>
  </si>
  <si>
    <t>Fanny Rodrigues Golden Throne</t>
  </si>
  <si>
    <t>https://sitemga.mga.games/GameLauncher/gameLauncher.jsp?game=1001072&amp;clienttype=html5&amp;mid=1</t>
  </si>
  <si>
    <t>E212483FSSPRTM</t>
  </si>
  <si>
    <t>Flamenco Passion</t>
  </si>
  <si>
    <t>https://sitemga.mga.games/GameLauncher/gameLauncher.jsp?game=1001371&amp;clienttype=html5&amp;mid=1</t>
  </si>
  <si>
    <t>0.25€, 0.50€, 1.00€, 2.00€, 2.50€, 5.00€, 20.00€, 25.00€</t>
  </si>
  <si>
    <t>https://sitemga.mga.games/GameLauncher/gameLauncher.jsp?game=1001099&amp;clienttype=html5&amp;mid=1</t>
  </si>
  <si>
    <t>E2111678FSSPRTM</t>
  </si>
  <si>
    <t>Fortuna Do Petróleo</t>
  </si>
  <si>
    <t>https://sitemga.mga.games/GameLauncher/gameLauncher.jsp?game=1001383&amp;clienttype=html5&amp;mid=2</t>
  </si>
  <si>
    <t>E246336FSSPRTM</t>
  </si>
  <si>
    <t>Profiles (85.44% - 90.20% - 95.00%)</t>
  </si>
  <si>
    <t>https://sitemga.mga.games/GameLauncher/gameLauncher.jsp?game=1001450&amp;clienttype=html5&amp;mid=1</t>
  </si>
  <si>
    <t>E243373FSSPRTM</t>
  </si>
  <si>
    <t>https://sitemga.mga.games/GameLauncher/gameLauncher.jsp?game=1000119&amp;clienttype=html5&amp;mid=1</t>
  </si>
  <si>
    <t>E2312635FSSPRTM</t>
  </si>
  <si>
    <t>https://sitemga.mga.games/GameLauncher/gameLauncher.jsp?game=1000141&amp;clienttype=html5&amp;mid=1</t>
  </si>
  <si>
    <t>E2416696FSSPRTM</t>
  </si>
  <si>
    <t>Jax Fortune And The Jaguar Amulet</t>
  </si>
  <si>
    <t>https://sitemga.mga.games/GameLauncher/gameLauncher.jsp?game=1001538&amp;clienttype=html5&amp;mid=1</t>
  </si>
  <si>
    <t>Jessica Weaver Rainha Dos Mares</t>
  </si>
  <si>
    <t>https://sitemga.mga.games/GameLauncher/gameLauncher.jsp?game=1001134&amp;clienttype=html5&amp;mid=1</t>
  </si>
  <si>
    <t>E2313221FSSPRTM</t>
  </si>
  <si>
    <t>Joana Alburquerque O Planeta Das Gemas</t>
  </si>
  <si>
    <t>https://sitemga.mga.games/GameLauncher/gameLauncher.jsp?game=1001148&amp;clienttype=html5&amp;mid=1</t>
  </si>
  <si>
    <t>E2215106FSSPRTM</t>
  </si>
  <si>
    <t>97,350.00  (RTP 95.0%, 92.09%, 90.08%) 78,075.00  (RTP 85.08%) 59,325.00  (RTP 80.02%)</t>
  </si>
  <si>
    <t>Joana Araujo Capita Da Sorte</t>
  </si>
  <si>
    <t>https://sitemga.mga.games/GameLauncher/gameLauncher.jsp?game=1001139&amp;clienttype=html5&amp;mid=1</t>
  </si>
  <si>
    <t>E2215077FSSPRTM</t>
  </si>
  <si>
    <t>0.25, 0.50, 0.75, 1.00, 1.25, 1.50, 1.75, 2.00, 2.25, 2.50, , 2.50, 3.00, 3.50, 3.75, 4.00, 4.50, 5.00, 6.25, 7.50, 8.75, 10.00, 11.25, 12.50, 15.00, 17.50, 20.00, 22.50, 25.00</t>
  </si>
  <si>
    <t>Profiles (80.08%, 85.80%, 90.04%, 92.04%, 95.08% )</t>
  </si>
  <si>
    <t>https://sitemga.mga.games/GameLauncher/gameLauncher.jsp?game=1000139&amp;clienttype=html5&amp;mid=1</t>
  </si>
  <si>
    <t>E246316FSSPRTM</t>
  </si>
  <si>
    <t>Macacos Pote Duplo</t>
  </si>
  <si>
    <t>https://sitemga.mga.games/GameLauncher/gameLauncher.jsp?game=1001513&amp;clienttype=html5&amp;mid=1</t>
  </si>
  <si>
    <t>E255274FSSPRTM</t>
  </si>
  <si>
    <t>0.20, 0.40, 1.00, 2.00, 3.00, 4.00, 5.00, 6.00, 8.00, 10.00, 15.00, 20.00</t>
  </si>
  <si>
    <t>Maria Nunes Misterio No Circo</t>
  </si>
  <si>
    <t>https://sitemga.mga.games/GameLauncher/gameLauncher.jsp?game=1001152&amp;clienttype=html5&amp;mid=1</t>
  </si>
  <si>
    <t>E231446FSSPRTM</t>
  </si>
  <si>
    <t>Minerais Magicos</t>
  </si>
  <si>
    <t>https://sitemga.mga.games/GameLauncher/gameLauncher.jsp?game=1001496&amp;clienttype=html5&amp;mid=1</t>
  </si>
  <si>
    <t>E257684FSSPRTM</t>
  </si>
  <si>
    <t xml:space="preserve">Profiles (85,93% - 90,45% - 94,80%)
</t>
  </si>
  <si>
    <t>O Bandido Explosivo</t>
  </si>
  <si>
    <t>https://sitemga.mga.games/GameLauncher/gameLauncher.jsp?game=1001440&amp;clienttype=html5&amp;mid=1</t>
  </si>
  <si>
    <t>E241235FSSPRTM</t>
  </si>
  <si>
    <t>Profiles (85,44%, 90,20%, 95%)</t>
  </si>
  <si>
    <t xml:space="preserve">O Bandido Explosivo 2 </t>
  </si>
  <si>
    <t>https://sitemga.mga.games/GameLauncher/gameLauncher.jsp?game=1001529&amp;clienttype=html5&amp;mid=2</t>
  </si>
  <si>
    <t>E2523342FSSPRTM</t>
  </si>
  <si>
    <t>0.10, 0.20, 0.50, 1, 2, 5, 10, 20</t>
  </si>
  <si>
    <t>Profiles (85,20% - 90,35% - 94,98%)</t>
  </si>
  <si>
    <t>O Gato Mago</t>
  </si>
  <si>
    <t>https://sitemga.mga.games/GameLauncher/gameLauncher.jsp?game=1001274&amp;clienttype=html5&amp;mid=1</t>
  </si>
  <si>
    <t>E2416695FSSPRTM</t>
  </si>
  <si>
    <t>O Gato Mago Explosivo</t>
  </si>
  <si>
    <t>https://sitemga.mga.games/GameLauncher/gameLauncher.jsp?game=1001518&amp;clienttype=html5&amp;mid=1</t>
  </si>
  <si>
    <t>E2511881FSSPRTM</t>
  </si>
  <si>
    <t>0.10, 0.20, 0.50, 1, 2, 5, 10, 15, 20, 25</t>
  </si>
  <si>
    <t xml:space="preserve">O Orbe De Poseidon </t>
  </si>
  <si>
    <t>https://sitemga.mga.games/GameLauncher/gameLauncher.jsp?game=1001534&amp;clienttype=html5&amp;mid=1</t>
  </si>
  <si>
    <t xml:space="preserve">O ORBE DE POSEIDON </t>
  </si>
  <si>
    <t>E2526670FSSPRTM</t>
  </si>
  <si>
    <t>63000.00</t>
  </si>
  <si>
    <t>0.10, 0.20, 0.50, 1.00, 2.00, 5.00, 10.00, 20.00, 30.00</t>
  </si>
  <si>
    <t>Profiles (85,97%, 90,33%, 94,53%)</t>
  </si>
  <si>
    <t>O Tesouro De Atena</t>
  </si>
  <si>
    <t>https://sitemga.mga.games/GameLauncher/gameLauncher.jsp?game=1001508&amp;clienttype=html5&amp;mid=1</t>
  </si>
  <si>
    <t>E2511934FSSPRTM</t>
  </si>
  <si>
    <t xml:space="preserve">Profiles (85,77% - 90,64% - 95,01%)
</t>
  </si>
  <si>
    <t>https://sitemga.mga.games/GameLauncher/gameLauncher.jsp?game=1001427&amp;clienttype=html5&amp;mid=1</t>
  </si>
  <si>
    <t>E254698FSSPRTM</t>
  </si>
  <si>
    <t>Paulo Futre The Last Gladiator</t>
  </si>
  <si>
    <t>https://sitemga.mga.games/GameLauncher/gameLauncher.jsp?game=1001080&amp;clienttype=html5&amp;mid=1</t>
  </si>
  <si>
    <t>E215977FSSPRTM</t>
  </si>
  <si>
    <t xml:space="preserve">Pharaoh’s Mystery </t>
  </si>
  <si>
    <t>https://sitemga.mga.games/GameLauncher/gameLauncher.jsp?game=1001544&amp;clienttype=html5&amp;mid=1</t>
  </si>
  <si>
    <t>Piratas Da China</t>
  </si>
  <si>
    <t>https://sitemga.mga.games/GameLauncher/gameLauncher.jsp?game=1001523&amp;clienttype=html5&amp;mid=1</t>
  </si>
  <si>
    <t>E2515821FSSPRTM</t>
  </si>
  <si>
    <t>Profiles (86,46% - 90,70% - 94,88%)</t>
  </si>
  <si>
    <t>Pirate Adventures</t>
  </si>
  <si>
    <t>https://sitemga.mga.games/GameLauncher/gameLauncher.jsp?game=1001226&amp;clienttype=html5&amp;mid=1</t>
  </si>
  <si>
    <t>0.20€, 1.00€, 2.00€, 3.00€, 5.00€, 10.00€, 15.00€, 20.00€, 25.00€, 30.00€</t>
  </si>
  <si>
    <t>x590.60</t>
  </si>
  <si>
    <t>Profiles (80,01%, 85,01%, 90,06%, 92,03%, 95,05%)</t>
  </si>
  <si>
    <t>35.09%</t>
  </si>
  <si>
    <t>Popeye Caça Tesouros</t>
  </si>
  <si>
    <t>https://sitemga.mga.games/GameLauncher/gameLauncher.jsp?game=1000062&amp;clienttype=html5&amp;mid=1</t>
  </si>
  <si>
    <t>E222085FSSPRTM</t>
  </si>
  <si>
    <t>Rainbow Gold Fortunes</t>
  </si>
  <si>
    <t>https://sitemga.mga.games/GameLauncher/gameLauncher.jsp?game=1001365&amp;clienttype=html5&amp;mid=1</t>
  </si>
  <si>
    <t>0.2</t>
  </si>
  <si>
    <t>0.25€, 0.50€, 1.00€, 2.00€, 5.00€, 7.50€, 20.00€, 25.00€</t>
  </si>
  <si>
    <t>x2500.00</t>
  </si>
  <si>
    <t>Profiles (80,03%, 85,09%, 90,08%, 92,1%, 95%)</t>
  </si>
  <si>
    <t>39.53%</t>
  </si>
  <si>
    <t>Riquezas Da Alquimia</t>
  </si>
  <si>
    <t>https://sitemga.mga.games/GameLauncher/gameLauncher.jsp?game=1001299&amp;clienttype=html5&amp;mid=1</t>
  </si>
  <si>
    <t>E2416380FSSPRTM</t>
  </si>
  <si>
    <t>-</t>
  </si>
  <si>
    <t>https://sitemga.mga.games/GameLauncher/gameLauncher.jsp?game=1000121&amp;clienttype=html5&amp;mid=1</t>
  </si>
  <si>
    <t>E2312625FSSPRTM</t>
  </si>
  <si>
    <t>https://sitemga.mga.games/GameLauncher/gameLauncher.jsp?game=1001076&amp;clienttype=html5&amp;mid=1</t>
  </si>
  <si>
    <t>E211424FSSPRTM</t>
  </si>
  <si>
    <t>https://sitemga.mga.games/GameLauncher/gameLauncher.jsp?game=1001078&amp;clienttype=html5&amp;mid=1</t>
  </si>
  <si>
    <t>E211467FSSPRTM</t>
  </si>
  <si>
    <t>14,765.00  (RTP 95.04%, 92.03%, 90.06%) 14,715.00  (RTP 85.0%) 14,506.25  (RTP 80.01%)</t>
  </si>
  <si>
    <t>https://sitemga.mga.games/GameLauncher/gameLauncher.jsp?game=1000134&amp;clienttype=html5&amp;mid=1</t>
  </si>
  <si>
    <t>E241232FSSPRTM</t>
  </si>
  <si>
    <t>Sofia Sousa Deusa Jade</t>
  </si>
  <si>
    <t>https://sitemga.mga.games/GameLauncher/gameLauncher.jsp?game=1001158&amp;clienttype=html5&amp;mid=1</t>
  </si>
  <si>
    <t>E231457FSSPRTM</t>
  </si>
  <si>
    <t>Teresa Guilherme Rainha Da Pérsia</t>
  </si>
  <si>
    <t>https://sitemga.mga.games/GameLauncher/gameLauncher.jsp?game=1001129&amp;clienttype=html5&amp;mid=1</t>
  </si>
  <si>
    <t>E227665FSSPRTM</t>
  </si>
  <si>
    <t>https://sitemga.mga.games/GameLauncher/gameLauncher.jsp?game=1000120&amp;clienttype=html5&amp;mid=1</t>
  </si>
  <si>
    <t>E2312631FSSPRTM</t>
  </si>
  <si>
    <t>https://sitemga.mga.games/GameLauncher/gameLauncher.jsp?game=1001297&amp;clienttype=html5&amp;mid=1</t>
  </si>
  <si>
    <t>E236472FSSPRTM</t>
  </si>
  <si>
    <t>0.08, 0.20, 0.40, 0.80, 2.00, 4.00, 8.00, 14.00, 20.00, 30.00</t>
  </si>
  <si>
    <t>Roulette Grand Croupier</t>
  </si>
  <si>
    <t>https://sitemga.mga.games/GameLauncher/gameLauncher.jsp?game=1001115&amp;clienttype=html5&amp;mid=1</t>
  </si>
  <si>
    <t>E227077FSSPRTM</t>
  </si>
  <si>
    <t>0.10, 0.20, 1.00, 2.00, 5.00, 10.00, 50.00, 100.00, 500.00</t>
  </si>
  <si>
    <r>
      <rPr>
        <b/>
        <i/>
        <u/>
        <sz val="12"/>
        <color rgb="FFFFFFFF"/>
        <rFont val="Calibri"/>
      </rPr>
      <t xml:space="preserve">Updated 23/03/2026
</t>
    </r>
    <r>
      <rPr>
        <b/>
        <sz val="12"/>
        <color rgb="FFFFFFFF"/>
        <rFont val="Calibri"/>
      </rPr>
      <t>GameName</t>
    </r>
  </si>
  <si>
    <t>777 Hot Megaways</t>
  </si>
  <si>
    <t>https://sitemga,mga,games/GameLauncher/gameLauncher,jsp?game=1001178&amp;clienttype=html5&amp;mid=1</t>
  </si>
  <si>
    <t>14,401,00 € (RTP 90,62%) 12,800,00 € (RTP 85,36%, 83,55%) 16,000,00 € (RTP 95,47%)</t>
  </si>
  <si>
    <t>0,20€, 0,40€, 0,60€, 1,00€, 1,20€, 1,40€, 1,80€, 2,00€, 3,00€, 5,00€, 6,00€, 7,00€, 9,00€, 10,00€</t>
  </si>
  <si>
    <t>x1440 (RTP 90,62%) | x1280 (RTP 85,36%, 83,55%) | x1600 (RTP 95,47%)</t>
  </si>
  <si>
    <t>Profiles (83,55%, 85,36%, 90,62%, 95,47%)</t>
  </si>
  <si>
    <t>Boxing Champion</t>
  </si>
  <si>
    <t>https://sitemga,mga,games/GameLauncher/gameLauncher,jsp?game=1001137&amp;clienttype=html5&amp;mid=1</t>
  </si>
  <si>
    <t>12,800,00 € (RTP 83,59%, 85,46%) 16,000,00 € (RTP 95,53%) 14,401,00 € (RTP 90,6%)</t>
  </si>
  <si>
    <t>x1280 (RTP 83,59%, 85,46%) | x1600 (RTP 95,53%) | x1440 (RTP 90,6%)</t>
  </si>
  <si>
    <t>Profiles (83,59%, 85,46%, 90,60%, 95,53%)</t>
  </si>
  <si>
    <t>Chef’S Delights Megaways</t>
  </si>
  <si>
    <t>https://sitemga,mga,games/GameLauncher/gameLauncher,jsp?game=1001448&amp;clienttype=html5&amp;mid=1</t>
  </si>
  <si>
    <t>Far West Mania Megaways</t>
  </si>
  <si>
    <t>https://sitemga,mga,games/GameLauncher/gameLauncher,jsp?game=1001296&amp;clienttype=html5&amp;mid=1</t>
  </si>
  <si>
    <t>Fire Warlock</t>
  </si>
  <si>
    <t>https://sitemga,mga,games/GameLauncher/gameLauncher,jsp?game=1001146&amp;clienttype=html5&amp;mid=1</t>
  </si>
  <si>
    <t>16,000,00 € (RTP 95,17%) 14,401,00 € (RTP 90,26%) 12,800,00 € (RTP 83,27%, 85,09%)</t>
  </si>
  <si>
    <t>x1600 (RTP 95,17%) | x1440 (RTP 90,26%) | x1280 (RTP 83,27%, 85,09%)</t>
  </si>
  <si>
    <t>Profiles (83,27%, 85,09%, 90,26%, 95,17%)</t>
  </si>
  <si>
    <t>Golden Ocean Megaways</t>
  </si>
  <si>
    <t>https://sitemga,mga,games/GameLauncher/gameLauncher,jsp?game=1001458&amp;clienttype=html5&amp;mid=1</t>
  </si>
  <si>
    <t>Gold Mine Mania Megaways</t>
  </si>
  <si>
    <t>https://sitemga,mga,games/GameLauncher/gameLauncher,jsp?game=1001254&amp;clienttype=html5&amp;mid=1</t>
  </si>
  <si>
    <t>Spicy Mariachi Megaways</t>
  </si>
  <si>
    <t>https://sitemga,mga,games/GameLauncher/gameLauncher,jsp?game=1001501&amp;clienttype=html5&amp;mid=1</t>
  </si>
  <si>
    <t>€25000,00</t>
  </si>
  <si>
    <t>0,20€, 0,40€, 0,60€, 1,00€, 1,40€, 2,00€, 3,00€, 4,00€, 5,00€, 6,00€, 7,00€, 10,00€, 14,00€, 20,00€</t>
  </si>
  <si>
    <t>x1250,00</t>
  </si>
  <si>
    <t>Secrets Of Persia Megaways</t>
  </si>
  <si>
    <t>https://sitemga,mga,games/GameLauncher/gameLauncher,jsp?game=1001477&amp;clienttype=html5&amp;mid=1</t>
  </si>
  <si>
    <t>Profiles (85,86% - 90,77% - 95,82%)</t>
  </si>
  <si>
    <t>Sweet Fortune Megaways</t>
  </si>
  <si>
    <t>https://sitemga,mga,games/GameLauncher/gameLauncher,jsp?game=1001419&amp;clienttype=html5&amp;mid=1</t>
  </si>
  <si>
    <t>Profiles(95,76% - 90,51% - 85,20%)</t>
  </si>
  <si>
    <t>Take The Money Megaways</t>
  </si>
  <si>
    <t>https://sitemga,mga,games/GameLauncher/gameLauncher,jsp?game=1001381&amp;clienttype=html5&amp;mid=1</t>
  </si>
  <si>
    <t>Abigail Ratchford's Treasure Quest</t>
  </si>
  <si>
    <t>https://sitemga,mga,games/GameLauncher/gameLauncher,jsp?game=1001407&amp;clienttype=html5&amp;mid=1</t>
  </si>
  <si>
    <t>0,30€, 0,60€, 0,90€, 1,20€, 1,50€, 1,80€, 2,40€, 3,00€, 4,50€, 6,00€</t>
  </si>
  <si>
    <t>Profiles (85,28%, 91,03%, 93,13%, 95,24%)</t>
  </si>
  <si>
    <t>Hight</t>
  </si>
  <si>
    <t>Alchemy Riches</t>
  </si>
  <si>
    <t>https://sitemga,mga,games/GameLauncher/gameLauncher,jsp?game=1001303&amp;clienttype=html5&amp;mid=1</t>
  </si>
  <si>
    <t>0,25€, 0,50€, 1,00€, 2,00€, 2,50€, 5,00€, 10,00€, 15,00€, 20,00€, 25,00€</t>
  </si>
  <si>
    <t>Astral Spin</t>
  </si>
  <si>
    <t>https://sitemga,mga,games/GameLauncher/gameLauncher,jsp?game=1001453&amp;clienttype=html5&amp;mid=1</t>
  </si>
  <si>
    <t>Athena's Treasure</t>
  </si>
  <si>
    <t>https://sitemga,mga,games/GameLauncher/gameLauncher,jsp?game=1001511&amp;clienttype=html5&amp;mid=1</t>
  </si>
  <si>
    <t>0,10€, 0,20€, 0,50€, 1,00€, 2,00€, 5,00€, 10,00€, 20,00€</t>
  </si>
  <si>
    <t>Standard Profiles (85,77% - 90,64% - 95,01%)
BonusBuy Profiles (85,56% - 90,9% - 94,54%)</t>
  </si>
  <si>
    <t>https://sitemga,mga,games/GameLauncher/gameLauncher,jsp?game=1001055&amp;clienttype=html5&amp;mid=1</t>
  </si>
  <si>
    <t>Profiles(86,66%, 91,22%, 96,21%)</t>
  </si>
  <si>
    <t>Captain Lucky</t>
  </si>
  <si>
    <t>https://sitemga,mga,games/GameLauncher/gameLauncher,jsp?game=1001156&amp;clienttype=html5&amp;mid=1</t>
  </si>
  <si>
    <t>€0,25, €0,50, €1, €2, €2,50, €5, €10, €15, €20, €25</t>
  </si>
  <si>
    <t>x2916</t>
  </si>
  <si>
    <t>Profiles (83,47%, 85,18%, 90,66%, 95,77)</t>
  </si>
  <si>
    <t>Captain Nemo</t>
  </si>
  <si>
    <t>https://sitemga,mga,games/GameLauncher/gameLauncher,jsp?game=1001197&amp;clienttype=html5&amp;mid=1</t>
  </si>
  <si>
    <t>0,10€, 0,20€, 0,50€, 1,00€, 2,00€, 5,00€, 10,00€, 15,00€, 20,00€, 25,00€</t>
  </si>
  <si>
    <t>https://sitemga,mga,games/GameLauncher/gameLauncher,jsp?game=1001045&amp;clienttype=html5&amp;mid=1</t>
  </si>
  <si>
    <t>0,10€, 0,20€, 0,50€, 1,00€, 2,00€, 5,00€, 10,00€, 15,00€, 20,00€, 25,00€, 50,00€</t>
  </si>
  <si>
    <t>Profiles(85%,89,99%,95%)</t>
  </si>
  <si>
    <t>Circus Mystery</t>
  </si>
  <si>
    <t>https://sitemga,mga,games/GameLauncher/gameLauncher,jsp?game=1001155&amp;clienttype=html5&amp;mid=1</t>
  </si>
  <si>
    <t>16,275,00 € (RTP 95,05%) 16,080,00 € (RTP 93,13%, 91,02%) 13,080,00 € (RTP 85,14%, 80,13%)</t>
  </si>
  <si>
    <t>x651 (RTP 95,05%) | x643 (RTP 93,13%, 91,02%) | x523 (RTP 85,14%, 80,13%)</t>
  </si>
  <si>
    <t>Profiles (80,13%, 85,14%, 91,02%, 93,13%, 95,05%)</t>
  </si>
  <si>
    <t>Cleopatra's Treasure</t>
  </si>
  <si>
    <t>https://sitemga,mga,games/GameLauncher/gameLauncher,jsp?game=1001218&amp;clienttype=html5&amp;mid=1</t>
  </si>
  <si>
    <t>0,10€, 0,20€, 0,50€, 1,00€, 2,00€, 3,50€, 5,00€, 7,00€, 8,00€, 10,00€</t>
  </si>
  <si>
    <t>Cosmic Monsters Party</t>
  </si>
  <si>
    <t>https://sitemga,mga,games/GameLauncher/gameLauncher,jsp?game=1001472&amp;clienttype=html5&amp;mid=1</t>
  </si>
  <si>
    <t>Dj In Session</t>
  </si>
  <si>
    <t>https://sitemga,mga,games/GameLauncher/gameLauncher,jsp?game=1001094&amp;clienttype=html5&amp;mid=1</t>
  </si>
  <si>
    <t>12,150,00 € (RTP 83,1%, 85,8%, 90,05%, 95,23%) 29,160,00 € (RTP 83,83%, 85,33%, 90,22%) 34,020,00 € (RTP 95,41%) 72,900,00 € (RTP 83,47%, 85,18%, 90,66%, 95,77%)</t>
  </si>
  <si>
    <t>x486 (RTP 83,1%, 85,8%, 90,05%, 95,23%) | x1166 (RTP 83,83%, 85,33%, 90,22%) | x1360 (RTP 95,41%) | x2916 (RTP 83,47%, 85,18%, 90,66%, 95,77%)</t>
  </si>
  <si>
    <t>Profiles (83,10%, 83,47%, 83,83%, 85,18%, 85,33%, 85,80%, 90,05%, 90,22%, 90,66%, 95,23%, 95,41%, 95,77%)</t>
  </si>
  <si>
    <t>Dream3Team</t>
  </si>
  <si>
    <t>https://sitemga,mga,games/GameLauncher/gameLauncher,jsp?game=1001067&amp;clienttype=html5&amp;mid=1</t>
  </si>
  <si>
    <t>57,003,75 € (RTP 95,0%, 92,09%, 90,08%) 45,641,25 € (RTP 85,08%) 34,391,25 € (RTP 80,02%)</t>
  </si>
  <si>
    <t>0,20€, 0,60€, 1,00€, 2,00€, 5,00€, 8,00€, 10,00€, 15,00€, 20,00€, 25,00€</t>
  </si>
  <si>
    <t>x2280 (RTP 95,0%, 92,09%, 90,08%) | x1825 (RTP 85,08%) | x1375 (RTP 80,02%)</t>
  </si>
  <si>
    <t>Profiles (80,02%, 85,08%, 90,08%, 92,09%, 95,00%)</t>
  </si>
  <si>
    <t>https://sitemga.mga.games/GameLauncher/gameLauncher.jsp?game=1001542&amp;clienttype=html5&amp;mid=1</t>
  </si>
  <si>
    <t>https://sitemga,mga,games/GameLauncher/gameLauncher,jsp?game=1001375&amp;clienttype=html5&amp;mid=1</t>
  </si>
  <si>
    <t>0,25€, 0,50€, 1,00€, 2,00€, 5,00€, 7,50€, 10,00€, 15,00€, 20,00€, 25,00€</t>
  </si>
  <si>
    <t>Profiles (85,61% - 90,79% - 95,76%)</t>
  </si>
  <si>
    <t>https://sitemga,mga,games/GameLauncher/gameLauncher,jsp?game=1001098&amp;clienttype=html5&amp;mid=1</t>
  </si>
  <si>
    <t>Profiles (86,35%, 91,0%, 92,89%, 94,99%, 96,01%)</t>
  </si>
  <si>
    <t>Gems Planet</t>
  </si>
  <si>
    <t>https://sitemga,mga,games/GameLauncher/gameLauncher,jsp?game=1001163&amp;clienttype=html5&amp;mid=1</t>
  </si>
  <si>
    <t>97,350,00 € (RTP 95,0%, 92,09%, 90,08%) 78,075,00 € (RTP 85,08%) 59,325,00 € (RTP 80,02%)</t>
  </si>
  <si>
    <t>x3894 (RTP 95,0%, 92,09%, 90,08%) | x3123 (RTP 85,08%) | x2373 (RTP 80,02%)</t>
  </si>
  <si>
    <t>God Of Seas</t>
  </si>
  <si>
    <t>https://sitemga,mga,games/GameLauncher/gameLauncher,jsp?game=1001116&amp;clienttype=html5&amp;mid=1</t>
  </si>
  <si>
    <t>0,20, 0,40, 0,60, 0,80, 1,00, 1,20, 1,60, 2,00,
3,00, 4,00, 5,00, 6,00, 8,00, 10,00, 12,00, 15,00, 16,00, 20,00, 25,00</t>
  </si>
  <si>
    <t>95,01% - 93,06% - 91,00% - 85,02%</t>
  </si>
  <si>
    <t>https://sitemga,mga,games/GameLauncher/gameLauncher,jsp?game=1001401&amp;clienttype=html5&amp;mid=1</t>
  </si>
  <si>
    <t>Profiles (86,35%, 91,05%, 92,89%, 94,99%, 96,01% )</t>
  </si>
  <si>
    <t>https://sitemga,mga,games/GameLauncher/gameLauncher,jsp?game=1001404&amp;clienttype=html5&amp;mid=1</t>
  </si>
  <si>
    <t>Profiles (86,01%, 91,02%, 93,04%, 95,09%, 96,04%)</t>
  </si>
  <si>
    <t>Ice Queen</t>
  </si>
  <si>
    <t>https://sitemga,mga,games/GameLauncher/gameLauncher,jsp?game=1001191&amp;clienttype=html5&amp;mid=1</t>
  </si>
  <si>
    <t>Jade Goddess</t>
  </si>
  <si>
    <t>https://sitemga,mga,games/GameLauncher/gameLauncher,jsp?game=1001161&amp;clienttype=html5&amp;mid=1</t>
  </si>
  <si>
    <t>Profiles (95,23%, 90,20%, 85,17% )</t>
  </si>
  <si>
    <t>Jaguar Quest</t>
  </si>
  <si>
    <t>https://sitemga,mga,games/GameLauncher/gameLauncher,jsp?game=1001345&amp;clienttype=html5&amp;mid=1</t>
  </si>
  <si>
    <t>0,50€, 1€, 1,50€, 2€, 2,50€, 3€, 4€, 5€, 7,50€, 10€, 15€, 20€, 30€, 40€</t>
  </si>
  <si>
    <t>Profiles (80,31%, 83,11%, 85,30%, 90,58%, 95,40%)</t>
  </si>
  <si>
    <t>https://sitemga,mga,games/GameLauncher/gameLauncher,jsp?game=1001539&amp;clienttype=html5&amp;mid=1</t>
  </si>
  <si>
    <t>THE JAGUAR AMULET</t>
  </si>
  <si>
    <t>x1040,00</t>
  </si>
  <si>
    <t>https://sitemga,mga,games/GameLauncher/gameLauncher,jsp?game=1001410&amp;clienttype=html5&amp;mid=1</t>
  </si>
  <si>
    <t>Jokers Lovers</t>
  </si>
  <si>
    <t>https://sitemga,mga,games/GameLauncher/gameLauncher,jsp?game=1001363&amp;clienttype=html5&amp;mid=1</t>
  </si>
  <si>
    <t>0,30€, 0,60€, 0,90€, 1,20€, 1,50€, 1,80€, 2,10€, 3€, 6€, 9€, 12€, 15€, 18€, 21€</t>
  </si>
  <si>
    <t>x2835</t>
  </si>
  <si>
    <t>Profiles (85,58%, 90,46%, 93,01%, 95,13% )</t>
  </si>
  <si>
    <t>https://sitemga,mga,games/GameLauncher/gameLauncher,jsp?game=1001051&amp;clienttype=html5&amp;mid=1</t>
  </si>
  <si>
    <t>Profiles((86,08%,91,05%,96,12%)</t>
  </si>
  <si>
    <t>Lucky Wave</t>
  </si>
  <si>
    <t>https://sitemga,mga,games/GameLauncher/gameLauncher,jsp?game=1001102&amp;clienttype=html5&amp;mid=1</t>
  </si>
  <si>
    <t>Magic Stones</t>
  </si>
  <si>
    <t>https://sitemga,mga,games/GameLauncher/gameLauncher,jsp?game=1001499&amp;clienttype=html5&amp;mid=1</t>
  </si>
  <si>
    <t>Magical Lake</t>
  </si>
  <si>
    <t>https://sitemga,mga,games/GameLauncher/gameLauncher,jsp?game=1001224&amp;clienttype=html5&amp;mid=1</t>
  </si>
  <si>
    <t>32,550,00 € (RTP 95,05%) 32,160,00 € (RTP 93,13%, 91,02%) 26,160,00 € (RTP 85,14%, 80,13%)</t>
  </si>
  <si>
    <t>0,50€, 1,00€, 1,50€, 2,50€, 3,00€, 5,00€, 7,50€, 10,00€, 12,50€, 15,00€, 25,00€, 30,00€, 50,00€</t>
  </si>
  <si>
    <t>Monkeys Double Pot</t>
  </si>
  <si>
    <t>https://sitemga,mga,games/GameLauncher/gameLauncher,jsp?game=1001516&amp;clienttype=html5&amp;mid=1</t>
  </si>
  <si>
    <t>0,20€, 0,40€, 1,00€, 2,00€, 3,00€, 4,00€, 5,00€, 6,00€, 8,00€, 10,00€, 15,00€, 20,00€</t>
  </si>
  <si>
    <t>Mythical Legends Carnival</t>
  </si>
  <si>
    <t>https://sitemga,mga,games/GameLauncher/gameLauncher,jsp?game=1001494&amp;clienttype=html5&amp;mid=1</t>
  </si>
  <si>
    <t>New Lands</t>
  </si>
  <si>
    <t>https://sitemga,mga,games/GameLauncher/gameLauncher,jsp?game=1001260&amp;clienttype=html5&amp;mid=1</t>
  </si>
  <si>
    <t>16275,00 € (RTP 95,08%) 
16080,00 € (RTP 93,22%, 90,11%)
13080,00 € (RTP 85,64%, 80,43%)</t>
  </si>
  <si>
    <t>0,25€, 0,50€, 1€, 2€, 2,50€, 5€, 10€, 15€, 20€, 25€</t>
  </si>
  <si>
    <t>x523 (RTP 80,43%, 85,64%) | x643 (RTP 90,11%, 93,22%) | x651 (RTP 95,08%)</t>
  </si>
  <si>
    <t>Profiles (80,43%, 85,64%, 90,11%, 93,22%, 95,08%)</t>
  </si>
  <si>
    <t>Oil Fortune</t>
  </si>
  <si>
    <t>https://sitemga,mga,games/GameLauncher/gameLauncher,jsp?game=1001387&amp;clienttype=html5&amp;mid=1</t>
  </si>
  <si>
    <t>Oktober Party</t>
  </si>
  <si>
    <t>https://sitemga,mga,games/GameLauncher/gameLauncher,jsp?game=1001236&amp;clienttype=html5&amp;mid=1</t>
  </si>
  <si>
    <t>97,350,00 € (RTP 95,0%) 78,075,00 € (RTP 90,08%) 59,325,00 € (RTP 85,08%)</t>
  </si>
  <si>
    <t>x3894 (RTP 95,0%) | x3123 (RTP 90,08%) | x2373 (RTP 85,08%)</t>
  </si>
  <si>
    <t>Profiles (85,08%, 90,08%, 95,00%)</t>
  </si>
  <si>
    <t>https://sitemga,mga,games/GameLauncher/gameLauncher,jsp?game=1001095&amp;clienttype=html5&amp;mid=1</t>
  </si>
  <si>
    <t>Pharaoah's Book</t>
  </si>
  <si>
    <t>https://sitemga,mga,games/GameLauncher/gameLauncher,jsp?game=1001248&amp;clienttype=html5&amp;mid=1</t>
  </si>
  <si>
    <t>https://sitemga.mga.games/GameLauncher/gameLauncher.jsp?game=1001545&amp;clienttype=html5&amp;mid=1</t>
  </si>
  <si>
    <t>https://sitemga,mga,games/GameLauncher/gameLauncher,jsp?game=1001230&amp;clienttype=html5&amp;mid=1</t>
  </si>
  <si>
    <t>44,295,00 € (RTP 95,04%, 92,03%, 90,06%) 44,145,00 € (RTP 85,0%) 43,518,75 € (RTP 80,01%)</t>
  </si>
  <si>
    <t>0,20€, 1,00€, 2,00€, 3,00€, 5,00€, 10,00€, 15,00€, 20,00€, 25,00€, 30,00€, 50,00€, 75,00€</t>
  </si>
  <si>
    <t>x590 (RTP 95,04%, 92,03%, 90,06%) | x588 (RTP 85,0%) | x580 (RTP 80,01%)</t>
  </si>
  <si>
    <t>Profiles (80,01%, 85,00%, 90,06%, 92,03%, 95,04%)</t>
  </si>
  <si>
    <t>Pirates Of China</t>
  </si>
  <si>
    <t>https://sitemga,mga,games/GameLauncher/gameLauncher,jsp?game=1001527&amp;clienttype=html5&amp;mid=1</t>
  </si>
  <si>
    <t>Planet Christmas</t>
  </si>
  <si>
    <t>https://sitemga,mga,games/GameLauncher/gameLauncher,jsp?game=1001315&amp;clienttype=html5&amp;mid=1</t>
  </si>
  <si>
    <t>Planet Halloween</t>
  </si>
  <si>
    <t>https://sitemga,mga,games/GameLauncher/gameLauncher,jsp?game=1001309&amp;clienttype=html5&amp;mid=1</t>
  </si>
  <si>
    <t>Poseidon's Orb</t>
  </si>
  <si>
    <t>https://sitemga,mga,games/GameLauncher/gameLauncher,jsp?game=1001535&amp;clienttype=html5&amp;mid=1</t>
  </si>
  <si>
    <t>€63000,00</t>
  </si>
  <si>
    <t>0,10€, 0,20€, 0,50€, 1,00€, 2,00€, 5,00€, 10,00€, 20,00€, 30,00€</t>
  </si>
  <si>
    <t>x2100,00</t>
  </si>
  <si>
    <t>Queen Of Persia</t>
  </si>
  <si>
    <t>https://sitemga,mga,games/GameLauncher/gameLauncher,jsp?game=1001119&amp;clienttype=html5&amp;mid=1</t>
  </si>
  <si>
    <t>Rainbow Gold Fortune</t>
  </si>
  <si>
    <t>https://sitemga,mga,games/GameLauncher/gameLauncher,jsp?game=1001369&amp;clienttype=html5&amp;mid=1</t>
  </si>
  <si>
    <t>0,20€, 0,60€, 1€, 2€, 5€, 10€, 16€, 20€, 24€, 40€</t>
  </si>
  <si>
    <t>Safari Treasure</t>
  </si>
  <si>
    <t>https://sitemga,mga,games/GameLauncher/gameLauncher,jsp?game=1001284&amp;clienttype=html5&amp;mid=1</t>
  </si>
  <si>
    <t>44,295,00 € (RTP 90,31%, 92,28%, 95,17%)
44,145,00 € (RTP 85,26%)
43,518,75 € (RTP 80,02%)</t>
  </si>
  <si>
    <t>0,20€, 1€, 2€, 3€, 5€, 10€, 15€, 20€, 25€, 30€, 50€, 75€</t>
  </si>
  <si>
    <t>x590 (RTP 95,17%, 92,28%, 95,17%) | x588 (RTP 85,26%) | x580 (RTP 80,02)</t>
  </si>
  <si>
    <t>Profiles (80,01%, 85,26%, 90,31%, 92,28%, 95,17%)</t>
  </si>
  <si>
    <t>https://sitemga,mga,games/GameLauncher/gameLauncher,jsp?game=1001066&amp;clienttype=html5&amp;mid=1</t>
  </si>
  <si>
    <t>https://sitemga,mga,games/GameLauncher/gameLauncher,jsp?game=1001068&amp;clienttype=html5&amp;mid=1</t>
  </si>
  <si>
    <t>14,765,00 € (RTP 95,04%, 92,03%, 90,06%) 14,715,00 € (RTP 85,0%) 14,506,25 € (RTP 80,01%)</t>
  </si>
  <si>
    <t>Silver Stake</t>
  </si>
  <si>
    <t>https://sitemga,mga,games/GameLauncher/gameLauncher,jsp?game=1001150&amp;clienttype=html5&amp;mid=1</t>
  </si>
  <si>
    <t>The Explosive Bandit</t>
  </si>
  <si>
    <t>https://sitemga,mga,games/GameLauncher/gameLauncher,jsp?game=1001443&amp;clienttype=html5&amp;mid=1</t>
  </si>
  <si>
    <t>The Explosive Bandit 2</t>
  </si>
  <si>
    <t>https://sitemga,mga,games/GameLauncher/gameLauncher,jsp?game=1001532&amp;clienttype=html5&amp;mid=1</t>
  </si>
  <si>
    <t>0,10€, 0,20€, 0,50€, 1€, 2€, 5€, 10€, 20€</t>
  </si>
  <si>
    <t>The Explosive Wizard Cat</t>
  </si>
  <si>
    <t>https://sitemga,mga,games/GameLauncher/gameLauncher,jsp?game=1001521&amp;clienttype=html5&amp;mid=1</t>
  </si>
  <si>
    <t>0,10€, 0,20€, 0,50€, 1€, 2€, 5€, 10€, 15€, 20€, 25€</t>
  </si>
  <si>
    <t>The Great King's Crown</t>
  </si>
  <si>
    <t>https://sitemga,mga,games/GameLauncher/gameLauncher,jsp?game=1001339&amp;clienttype=html5&amp;mid=1</t>
  </si>
  <si>
    <t>32,550,00 € (RTP 95,08%) 32,160,00 € (RTP 93,22%, 90,11%) 26,160,00 € (RTP 85,64%, 80,43%)</t>
  </si>
  <si>
    <t>x651 (RTP 95,08%) | x643 (RTP 93,22%, 90,11%) | x523 (RTP 85,64%, 80,43%)</t>
  </si>
  <si>
    <t>The Three Forces Of El Dorado</t>
  </si>
  <si>
    <t>https://sitemga,mga,games/GameLauncher/gameLauncher,jsp?game=1001351&amp;clienttype=html5&amp;mid=1</t>
  </si>
  <si>
    <t xml:space="preserve"> 0,20€, 0,40€, 0,60€, 0,80€, 1€, 1,20€, 1,60€, 2€, 2,40€, 3€, 4€, 5€, 6€</t>
  </si>
  <si>
    <t>The Wizard Cat</t>
  </si>
  <si>
    <t>https://sitemga,mga,games/GameLauncher/gameLauncher,jsp?game=1001278&amp;clienttype=html5&amp;mid=1</t>
  </si>
  <si>
    <t>Tropical Beach</t>
  </si>
  <si>
    <t>https://sitemga,mga,games/GameLauncher/gameLauncher,jsp?game=1001357&amp;clienttype=html5&amp;mid=1</t>
  </si>
  <si>
    <t>0,30€, 0,50€, 1€, 1,50€, 2€, 2,50€, 3€, 5€, 7,50€, 10€, 15€, 20€</t>
  </si>
  <si>
    <t>x3000</t>
  </si>
  <si>
    <t>Profiles (85,16%, 90,05%, 93,14%, 95,10%)</t>
  </si>
  <si>
    <t>Undersea Diamonds</t>
  </si>
  <si>
    <t>https://sitemga,mga,games/GameLauncher/gameLauncher,jsp?game=1001321&amp;clienttype=html5&amp;mid=1</t>
  </si>
  <si>
    <t>0,30€ , 0,60€ , 0,90€ , 1,20€ , 1,50€ , 1,80€ , 2,40€ , 3€ , 4,50€, 6€</t>
  </si>
  <si>
    <t>x2497</t>
  </si>
  <si>
    <t>Profiles (85,12%, 90,36%, 93,53%, 95,23% )</t>
  </si>
  <si>
    <t>Viking's Map</t>
  </si>
  <si>
    <t>https://sitemga,mga,games/GameLauncher/gameLauncher,jsp?game=1001203&amp;clienttype=html5&amp;mid=1</t>
  </si>
  <si>
    <t>Viking's Conquest</t>
  </si>
  <si>
    <t>https://sitemga,mga,games/GameLauncher/gameLauncher,jsp?game=1001075&amp;clienttype=html5&amp;mid=1</t>
  </si>
  <si>
    <t>26,800,00 € (RTP 80,0%, 83,06%, 85,13%, 90,37%, 95,17%) 37,750,00 € (RTP 80,15%, 83,17%, 85,05%, 90,1%, 95,25%, 80,31%, 83,11%, 85,3%, 90,58%, 95,4%)</t>
  </si>
  <si>
    <t>x1072 (RTP 80,0%, 83,06%, 85,13%, 90,37%, 95,17%) | x1510 (RTP 80,15%, 83,17%, 85,05%, 90,1%, 95,25%, 80,31%, 83,11%, 85,3%, 90,58%, 95,4%)</t>
  </si>
  <si>
    <t>Profiles (80,00%, 80,15%, 80,31%, 83,06%, 83,11%, 83,17%, 85,05%, 85,13%, 85,30%, 90,10%, 90,37%, 90,58%, 95,17%, 95,25%, 95,40%)</t>
  </si>
  <si>
    <t>Waikiki Goddess</t>
  </si>
  <si>
    <t>https://sitemga,mga,games/GameLauncher/gameLauncher,jsp?game=1001266&amp;clienttype=html5&amp;mid=1</t>
  </si>
  <si>
    <t>https://sitemga,mga,games/GameLauncher/gameLauncher,jsp?game=1001054&amp;clienttype=html5&amp;mid=1</t>
  </si>
  <si>
    <t>0,20 €, 0,60 €, 1,00 €, 2,00 €, 5,00 €, 8,00 €, 10,00 €, 15,00 €, 20,00 €, 25,00 €</t>
  </si>
  <si>
    <t>Profiles(86,05% , 90,75%, 95,96%)</t>
  </si>
  <si>
    <t>Wild Snow Spin</t>
  </si>
  <si>
    <t>https://sitemga,mga,games/GameLauncher/gameLauncher,jsp?game=1001487&amp;clienttype=html5&amp;mid=1</t>
  </si>
  <si>
    <t>Profiles (84,74% - 90,33% - 95,05%)</t>
  </si>
  <si>
    <t>Wild Wonderful Fairy</t>
  </si>
  <si>
    <t>https://sitemga,mga,games/GameLauncher/gameLauncher,jsp?game=1001333&amp;clienttype=html5&amp;mid=1</t>
  </si>
  <si>
    <t>https://sitemga,mga,games/GameLauncher/gameLauncher,jsp?game=1001413&amp;clienttype=html5&amp;mid=1</t>
  </si>
  <si>
    <t>Zeus´ Olympus</t>
  </si>
  <si>
    <t>https://sitemga,mga,games/GameLauncher/gameLauncher,jsp?game=1001431&amp;clienttype=html5&amp;mid=1</t>
  </si>
  <si>
    <t>Profiles (85,69% - 90,15% - 95,12%)</t>
  </si>
  <si>
    <t>Arabian</t>
  </si>
  <si>
    <t>https://sitemga,mga,games/GameLauncher/gameLauncher,jsp?game=1001020&amp;clienttype=html5&amp;mid=1</t>
  </si>
  <si>
    <t>0,08€, 0,20€, 0,40€, 0,80€, 2,00€, 4,00€, 8,00€, 14,00€, 20,00€, 30,00€</t>
  </si>
  <si>
    <t>https://sitemga,mga,games/GameLauncher/gameLauncher,jsp?game=1001025&amp;clienttype=html5&amp;mid=1</t>
  </si>
  <si>
    <t>Bicho Farm</t>
  </si>
  <si>
    <t>https://sitemga,mga,games/GameLauncher/gameLauncher,jsp?game=1001037&amp;clienttype=html5&amp;mid=1</t>
  </si>
  <si>
    <t>Bikers</t>
  </si>
  <si>
    <t>https://sitemga,mga,games/GameLauncher/gameLauncher,jsp?game=1001043&amp;clienttype=html5&amp;mid=1</t>
  </si>
  <si>
    <t>Buffalo</t>
  </si>
  <si>
    <t>https://sitemga,mga,games/GameLauncher/gameLauncher,jsp?game=1001053&amp;clienttype=html5&amp;mid=1</t>
  </si>
  <si>
    <t>https://sitemga,mga,games/GameLauncher/gameLauncher,jsp?game=1001062&amp;clienttype=html5&amp;mid=1</t>
  </si>
  <si>
    <t>https://sitemga,mga,games/GameLauncher/gameLauncher,jsp?game=1001012&amp;clienttype=html5&amp;mid=1</t>
  </si>
  <si>
    <t>https://sitemga,mga,games/GameLauncher/gameLauncher,jsp?game=1001018&amp;clienttype=html5&amp;mid=1</t>
  </si>
  <si>
    <t>https://sitemga,mga,games/GameLauncher/gameLauncher,jsp?game=1001024&amp;clienttype=html5&amp;mid=1</t>
  </si>
  <si>
    <t>Castle</t>
  </si>
  <si>
    <t>https://sitemga,mga,games/GameLauncher/gameLauncher,jsp?game=1001026&amp;clienttype=html5&amp;mid=1</t>
  </si>
  <si>
    <t>Caveman</t>
  </si>
  <si>
    <t>https://sitemga,mga,games/GameLauncher/gameLauncher,jsp?game=1001035&amp;clienttype=html5&amp;mid=1</t>
  </si>
  <si>
    <t>Champion Bingo</t>
  </si>
  <si>
    <t>https://sitemga,mga,games/GameLauncher/gameLauncher,jsp?game=1001042&amp;clienttype=html5&amp;mid=1</t>
  </si>
  <si>
    <t>https://sitemga,mga,games/GameLauncher/gameLauncher,jsp?game=1001014&amp;clienttype=html5&amp;mid=1</t>
  </si>
  <si>
    <t>Classic Cars Bingo</t>
  </si>
  <si>
    <t>https://sitemga,mga,games/GameLauncher/gameLauncher,jsp?game=1001001&amp;clienttype=html5&amp;mid=1</t>
  </si>
  <si>
    <t>Cleopatra</t>
  </si>
  <si>
    <t>https://sitemga,mga,games/GameLauncher/gameLauncher,jsp?game=1001038&amp;clienttype=html5&amp;mid=1</t>
  </si>
  <si>
    <t>Cocktails</t>
  </si>
  <si>
    <t>https://sitemga,mga,games/GameLauncher/gameLauncher,jsp?game=1001027&amp;clienttype=html5&amp;mid=1</t>
  </si>
  <si>
    <t>Cupcakes Bingo</t>
  </si>
  <si>
    <t>https://sitemga,mga,games/GameLauncher/gameLauncher,jsp?game=1001003&amp;clienttype=html5&amp;mid=1</t>
  </si>
  <si>
    <t>0,01€, 0,02€, 0,05€, 0,10€, 0,20€, 0,50€</t>
  </si>
  <si>
    <t>Detective</t>
  </si>
  <si>
    <t>https://sitemga,mga,games/GameLauncher/gameLauncher,jsp?game=1001039&amp;clienttype=html5&amp;mid=1</t>
  </si>
  <si>
    <t>Diamonds</t>
  </si>
  <si>
    <t>https://sitemga,mga,games/GameLauncher/gameLauncher,jsp?game=1001028&amp;clienttype=html5&amp;mid=1</t>
  </si>
  <si>
    <t>Disco</t>
  </si>
  <si>
    <t>https://sitemga,mga,games/GameLauncher/gameLauncher,jsp?game=1001023&amp;clienttype=html5&amp;mid=1</t>
  </si>
  <si>
    <t>Far West Bingo</t>
  </si>
  <si>
    <t>https://sitemga,mga,games/GameLauncher/gameLauncher,jsp?game=1001536&amp;clienttype=html5&amp;mid=1</t>
  </si>
  <si>
    <t>https://sitemga,mga,games/GameLauncher/gameLauncher,jsp?game=1001022&amp;clienttype=html5&amp;mid=1</t>
  </si>
  <si>
    <t>Golden Lucky Cat</t>
  </si>
  <si>
    <t>https://sitemga,mga,games/GameLauncher/gameLauncher,jsp?game=1001063&amp;clienttype=html5&amp;mid=1</t>
  </si>
  <si>
    <t>https://sitemga,mga,games/GameLauncher/gameLauncher,jsp?game=1001015&amp;clienttype=html5&amp;mid=1</t>
  </si>
  <si>
    <t>https://sitemga,mga,games/GameLauncher/gameLauncher,jsp?game=1001033&amp;clienttype=html5&amp;mid=1</t>
  </si>
  <si>
    <t>Mariachis</t>
  </si>
  <si>
    <t>https://sitemga,mga,games/GameLauncher/gameLauncher,jsp?game=1001032&amp;clienttype=html5&amp;mid=1</t>
  </si>
  <si>
    <t>https://sitemga,mga,games/GameLauncher/gameLauncher,jsp?game=1001506&amp;clienttype=html5&amp;mid=1</t>
  </si>
  <si>
    <t>https://sitemga,mga,games/GameLauncher/gameLauncher,jsp?game=1001013&amp;clienttype=html5&amp;mid=1</t>
  </si>
  <si>
    <t>Rock Live</t>
  </si>
  <si>
    <t>https://sitemga,mga,games/GameLauncher/gameLauncher,jsp?game=1001052&amp;clienttype=html5&amp;mid=1</t>
  </si>
  <si>
    <t>https://sitemga,mga,games/GameLauncher/gameLauncher,jsp?game=1001005&amp;clienttype=html5&amp;mid=1</t>
  </si>
  <si>
    <t>https://sitemga.mga.games/GameLauncher/gameLauncher.jsp?game=1001550&amp;clienttype=html5&amp;mid=1</t>
  </si>
  <si>
    <t>PENDING CERTIFICATION: 90.64%</t>
  </si>
  <si>
    <t>Sea</t>
  </si>
  <si>
    <t>https://sitemga,mga,games/GameLauncher/gameLauncher,jsp?game=1001041&amp;clienttype=html5&amp;mid=1</t>
  </si>
  <si>
    <t>Sunken City</t>
  </si>
  <si>
    <t>https://sitemga,mga,games/GameLauncher/gameLauncher,jsp?game=1001048&amp;clienttype=html5&amp;mid=1</t>
  </si>
  <si>
    <t>Sweet Home</t>
  </si>
  <si>
    <t>https://sitemga,mga,games/GameLauncher/gameLauncher,jsp?game=1001044&amp;clienttype=html5&amp;mid=1</t>
  </si>
  <si>
    <t>The Secret Of The Pyramids</t>
  </si>
  <si>
    <t>https://sitemga,mga,games/GameLauncher/gameLauncher,jsp?game=1001489&amp;clienttype=html5&amp;mid=1</t>
  </si>
  <si>
    <t>Wild Plains</t>
  </si>
  <si>
    <t>https://sitemga,mga,games/GameLauncher/gameLauncher,jsp?game=1001505&amp;clienttype=html5&amp;mid=1</t>
  </si>
  <si>
    <t>Vikings</t>
  </si>
  <si>
    <t>https://sitemga,mga,games/GameLauncher/gameLauncher,jsp?game=1001036&amp;clienttype=html5&amp;mid=1</t>
  </si>
  <si>
    <t>Zeus</t>
  </si>
  <si>
    <t>https://sitemga,mga,games/GameLauncher/gameLauncher,jsp?game=1001034&amp;clienttype=html5&amp;mid=1</t>
  </si>
  <si>
    <t>ROULETTES</t>
  </si>
  <si>
    <t>https://sitemga,mga,games/GameLauncher/gameLauncher,jsp?game=2000001&amp;clienttype=html5&amp;mid=1</t>
  </si>
  <si>
    <t>0,10€, 0,20€, 1,00€, 2,00€, 5,00€, 10,00€, 50,00€, 100,00€, 500,00€</t>
  </si>
  <si>
    <t>https://sitemga,mga,games/GameLauncher/gameLauncher,jsp?game=1001106&amp;clienttype=html5&amp;mid=1</t>
  </si>
  <si>
    <t>https://sitemga,mga,games/GameLauncher/gameLauncher,jsp?game=1001089&amp;clienttype=html5&amp;mid=1</t>
  </si>
  <si>
    <t>https://sitemga,mga,games/GameLauncher/gameLauncher,jsp?game=1001104&amp;clienttype=html5&amp;mid=1</t>
  </si>
  <si>
    <t>https://sitemga,mga,games/GameLauncher/gameLauncher,jsp?game=1001105&amp;clienttype=html5&amp;mid=1</t>
  </si>
  <si>
    <t>https://sitemga,mga,games/GameLauncher/gameLauncher,jsp?game=1001107&amp;clienttype=html5&amp;mid=1</t>
  </si>
  <si>
    <r>
      <rPr>
        <b/>
        <i/>
        <u/>
        <sz val="12"/>
        <color rgb="FFFFFFFF"/>
        <rFont val="Calibri"/>
      </rPr>
      <t xml:space="preserve">Updated 22/09/25
</t>
    </r>
    <r>
      <rPr>
        <b/>
        <sz val="12"/>
        <color rgb="FFFFFFFF"/>
        <rFont val="Calibri"/>
      </rPr>
      <t>GameName</t>
    </r>
  </si>
  <si>
    <t>https://sitemga.mga.games/GameLauncher/gameLauncher.jsp?game=1001179&amp;clienttype=html5&amp;mid=2</t>
  </si>
  <si>
    <t>34,28%</t>
  </si>
  <si>
    <t>Ayla de Zwart Far West Mania Megaways</t>
  </si>
  <si>
    <t>https://sitemga.mga.games/GameLauncher/gameLauncher.jsp?game=1001295&amp;clienttype=html5&amp;mid=2</t>
  </si>
  <si>
    <t>40,98%</t>
  </si>
  <si>
    <t>https://sitemga.mga.games/GameLauncher/gameLauncher.jsp?game=1001457&amp;clienttype=html5&amp;mid=2</t>
  </si>
  <si>
    <t>Milou Tamara Goudmijn Mania Megaways</t>
  </si>
  <si>
    <t>https://sitemga.mga.games/GameLauncher/gameLauncher.jsp?game=1001253&amp;clienttype=html5&amp;mid=2</t>
  </si>
  <si>
    <t>43,29%</t>
  </si>
  <si>
    <t>Neem het Geld Megaways</t>
  </si>
  <si>
    <t>https://sitemga.mga.games/GameLauncher/gameLauncher.jsp?game=1001380&amp;clienttype=html5&amp;mid=2</t>
  </si>
  <si>
    <t>https://sitemga.mga.games/GameLauncher/gameLauncher.jsp?game=1001302&amp;clienttype=html5&amp;mid=2</t>
  </si>
  <si>
    <t>Aylin Hayret Koningin van Het Ijs</t>
  </si>
  <si>
    <t>https://sitemga.mga.games/GameLauncher/gameLauncher.jsp?game=1001190&amp;clienttype=html5&amp;mid=2</t>
  </si>
  <si>
    <t>32,47%</t>
  </si>
  <si>
    <t>Bobbi Eden Kapitein Nemo</t>
  </si>
  <si>
    <t>https://sitemga.mga.games/GameLauncher/gameLauncher.jsp?game=1001196&amp;clienttype=html5&amp;mid=2</t>
  </si>
  <si>
    <t>De Explosieve Bandiet</t>
  </si>
  <si>
    <t>https://sitemga.mga.games/GameLauncher/gameLauncher.jsp?game=1001442&amp;clienttype=html5&amp;mid=2</t>
  </si>
  <si>
    <t>13,19%</t>
  </si>
  <si>
    <t>De Goudmijn Plus</t>
  </si>
  <si>
    <t>https://sitemga.mga.games/GameLauncher/gameLauncher.jsp?game=1000068&amp;clienttype=html5&amp;mid=2</t>
  </si>
  <si>
    <t>0.20€, 1€, 5€, 10€,  15€</t>
  </si>
  <si>
    <t>31,45%</t>
  </si>
  <si>
    <t>DJ in Session</t>
  </si>
  <si>
    <t>https://sitemga.mga.games/GameLauncher/gameLauncher.jsp?game=1001124&amp;clienttype=html5&amp;mid=2</t>
  </si>
  <si>
    <t>30,21%</t>
  </si>
  <si>
    <t>https://sitemga.mga.games/GameLauncher/gameLauncher.jsp?game=1001101&amp;clienttype=html5&amp;mid=2</t>
  </si>
  <si>
    <t>https://sitemga.mga.games/GameLauncher/gameLauncher.jsp?game=1001125&amp;clienttype=html5&amp;mid=2</t>
  </si>
  <si>
    <t>95.01% - 93.06% - 91.00% - 85.02%</t>
  </si>
  <si>
    <t>Jessica Weaver Koningin van de Zeeen</t>
  </si>
  <si>
    <t>https://sitemga.mga.games/GameLauncher/gameLauncher.jsp?game=1001409&amp;clienttype=html5&amp;mid=2</t>
  </si>
  <si>
    <t>40,32%</t>
  </si>
  <si>
    <t>https://sitemga.mga.games/GameLauncher/gameLauncher.jsp?game=1001103&amp;clienttype=html5&amp;mid=2</t>
  </si>
  <si>
    <t>39,23%</t>
  </si>
  <si>
    <t>Olie Fortuin</t>
  </si>
  <si>
    <t>https://sitemga.mga.games/GameLauncher/gameLauncher.jsp?game=1001386&amp;clienttype=html5&amp;mid=2</t>
  </si>
  <si>
    <t>https://sitemga.mga.games/GameLauncher/gameLauncher.jsp?game=1001123&amp;clienttype=html5&amp;mid=2</t>
  </si>
  <si>
    <t>30,32</t>
  </si>
  <si>
    <t>https://sitemga.mga.games/GameLauncher/gameLauncher.jsp?game=1001084&amp;clienttype=html5&amp;mid=2</t>
  </si>
  <si>
    <t>Sterren Draai</t>
  </si>
  <si>
    <t>https://sitemga.mga.games/GameLauncher/gameLauncher.jsp?game=1001452&amp;clienttype=html5&amp;mid=2</t>
  </si>
  <si>
    <t>Sylvia Geersen Golden Throne</t>
  </si>
  <si>
    <t>https://sitemga.mga.games/GameLauncher/gameLauncher.jsp?game=1001096&amp;clienttype=html5&amp;mid=2</t>
  </si>
  <si>
    <t xml:space="preserve"> 0.30€, 0.60€, 0.90€, 1.20€, 1.50€, 1.80€, 2.40€, 3€, 4.50€, 6€</t>
  </si>
  <si>
    <t>https://sitemga.mga.games/GameLauncher/gameLauncher.jsp?game=1001277&amp;clienttype=html5&amp;mid=2</t>
  </si>
  <si>
    <t>39,53%</t>
  </si>
  <si>
    <t>Vikings Conquest</t>
  </si>
  <si>
    <t>https://sitemga.mga.games/GameLauncher/gameLauncher.jsp?game=1001122&amp;clienttype=html5&amp;mid=2</t>
  </si>
  <si>
    <t>22,12%</t>
  </si>
  <si>
    <t>https://sitemga.mga.games/GameLauncher/gameLauncher.jsp?game=1001486&amp;clienttype=html5&amp;mid=2</t>
  </si>
  <si>
    <t>8,72%</t>
  </si>
  <si>
    <t>777 Ardente Megaways</t>
  </si>
  <si>
    <t>https://sitemga.mga.games/GameLauncher/gameLauncher.jsp?game=1001177&amp;clienttype=html5&amp;mid=2</t>
  </si>
  <si>
    <t>Campioni di Boxe Megaways</t>
  </si>
  <si>
    <t>https://sitemga.mga.games/GameLauncher/gameLauncher.jsp?game=1001171&amp;clienttype=html5&amp;mid=2</t>
  </si>
  <si>
    <t>https://sitemga.mga.games/GameLauncher/gameLauncher.jsp?game=1001294&amp;clienttype=html5&amp;mid=2</t>
  </si>
  <si>
    <t>Lo Stregone Megaways</t>
  </si>
  <si>
    <t>https://sitemga.mga.games/GameLauncher/gameLauncher.jsp?game=1001172&amp;clienttype=html5&amp;mid=2</t>
  </si>
  <si>
    <t>35,23%</t>
  </si>
  <si>
    <t>Mare Dorato Megaways</t>
  </si>
  <si>
    <t>https://sitemga.mga.games/GameLauncher/gameLauncher.jsp?game=1001456&amp;clienttype=html5&amp;mid=2</t>
  </si>
  <si>
    <t>Miniera D’Oro Mania Megaways</t>
  </si>
  <si>
    <t>https://sitemga.mga.games/GameLauncher/gameLauncher.jsp?game=1001252&amp;clienttype=html5&amp;mid=2</t>
  </si>
  <si>
    <t>Prenditi il denaro Megaways</t>
  </si>
  <si>
    <t>https://sitemga.mga.games/GameLauncher/gameLauncher.jsp?game=1001379&amp;clienttype=html5&amp;mid=2</t>
  </si>
  <si>
    <t>23,36%</t>
  </si>
  <si>
    <t>Conquista dei Vichinghi</t>
  </si>
  <si>
    <t>https://sitemga.mga.games/GameLauncher/gameLauncher.jsp?game=1001165&amp;clienttype=html5&amp;mid=2</t>
  </si>
  <si>
    <t>Dio dei Mari</t>
  </si>
  <si>
    <t>https://sitemga.mga.games/GameLauncher/gameLauncher.jsp?game=1001169&amp;clienttype=html5&amp;mid=2</t>
  </si>
  <si>
    <t>Elena Morali Mistero nel Circo</t>
  </si>
  <si>
    <t>https://sitemga.mga.games/GameLauncher/gameLauncher.jsp?game=1001154&amp;clienttype=html5&amp;mid=2</t>
  </si>
  <si>
    <t>Elena Rizzelo Regina del Ghiaccio</t>
  </si>
  <si>
    <t>https://sitemga.mga.games/GameLauncher/gameLauncher.jsp?game=1001189&amp;clienttype=html5&amp;mid=2</t>
  </si>
  <si>
    <t>Floriana Messina Comandante Nemo</t>
  </si>
  <si>
    <t>https://sitemga.mga.games/GameLauncher/gameLauncher.jsp?game=1001195&amp;clienttype=html5&amp;mid=2</t>
  </si>
  <si>
    <t>Fortuna del Petrolio</t>
  </si>
  <si>
    <t>https://sitemga.mga.games/GameLauncher/gameLauncher.jsp?game=1001385&amp;clienttype=html5&amp;mid=2</t>
  </si>
  <si>
    <t>Giro Astrale</t>
  </si>
  <si>
    <t>https://sitemga.mga.games/GameLauncher/gameLauncher.jsp?game=1001451&amp;clienttype=html5&amp;mid=2</t>
  </si>
  <si>
    <t>0,5076</t>
  </si>
  <si>
    <t>Il Bandito Esplosivo</t>
  </si>
  <si>
    <t>https://sitemga.mga.games/GameLauncher/gameLauncher.jsp?game=1001441&amp;clienttype=html5&amp;mid=2</t>
  </si>
  <si>
    <t>0,1319</t>
  </si>
  <si>
    <t>Il Gatto Magico</t>
  </si>
  <si>
    <t>https://sitemga.mga.games/GameLauncher/gameLauncher.jsp?game=1001276&amp;clienttype=html5&amp;mid=2</t>
  </si>
  <si>
    <t>Jessica Weaver Regina dei Mari</t>
  </si>
  <si>
    <t>https://sitemga.mga.games/GameLauncher/gameLauncher.jsp?game=1001408&amp;clienttype=html5&amp;mid=2</t>
  </si>
  <si>
    <t>Jolanda de Rienzo il Pianeta delle Gemme</t>
  </si>
  <si>
    <t>https://sitemga.mga.games/GameLauncher/gameLauncher.jsp?game=1001162&amp;clienttype=html5&amp;mid=2</t>
  </si>
  <si>
    <t>30,30%</t>
  </si>
  <si>
    <t>Marina Evangelista Dea Jade</t>
  </si>
  <si>
    <t>https://sitemga.mga.games/GameLauncher/gameLauncher.jsp?game=1001160&amp;clienttype=html5&amp;mid=2</t>
  </si>
  <si>
    <t>44,84%</t>
  </si>
  <si>
    <t>Onda Fortunata</t>
  </si>
  <si>
    <t>https://sitemga.mga.games/GameLauncher/gameLauncher.jsp?game=1001168&amp;clienttype=html5&amp;mid=2</t>
  </si>
  <si>
    <t>Paulo Futre l'Ultimo Gladiatore</t>
  </si>
  <si>
    <t>https://sitemga.mga.games/GameLauncher/gameLauncher.jsp?game=1001166&amp;clienttype=html5&amp;mid=2</t>
  </si>
  <si>
    <t>Regina di Persia</t>
  </si>
  <si>
    <t>https://sitemga.mga.games/GameLauncher/gameLauncher.jsp?game=1001170&amp;clienttype=html5&amp;mid=2</t>
  </si>
  <si>
    <t>29,22%</t>
  </si>
  <si>
    <t>Ricchezze dell'Alchimia</t>
  </si>
  <si>
    <t>https://sitemga.mga.games/GameLauncher/gameLauncher.jsp?game=1001301&amp;clienttype=html5&amp;mid=2</t>
  </si>
  <si>
    <t>0,3584</t>
  </si>
  <si>
    <t>https://sitemga.mga.games/GameLauncher/gameLauncher.jsp?game=1001173&amp;clienttype=html5&amp;mid=2</t>
  </si>
  <si>
    <t>Signora Fortuna</t>
  </si>
  <si>
    <t>https://sitemga.mga.games/GameLauncher/gameLauncher.jsp?game=1001205&amp;clienttype=html5&amp;mid=2</t>
  </si>
  <si>
    <t>€0.25, €0.50, €1, €2, €2.50, €5, €10, €15, €20, €25</t>
  </si>
  <si>
    <t>Profiles (83.47%, 85.18%, 90.66%, 95.77)</t>
  </si>
  <si>
    <t>31,79%</t>
  </si>
  <si>
    <t>Trono Dorato</t>
  </si>
  <si>
    <t>https://sitemga.mga.games/GameLauncher/gameLauncher.jsp?game=1001136&amp;clienttype=html5&amp;mid=2</t>
  </si>
  <si>
    <t>Valanga Selvaggia</t>
  </si>
  <si>
    <t>https://sitemga.mga.games/GameLauncher/gameLauncher.jsp?game=1001485&amp;clienttype=html5&amp;mid=2</t>
  </si>
  <si>
    <t>Client Zone URL</t>
  </si>
  <si>
    <t>Client Zone Link</t>
  </si>
  <si>
    <t xml:space="preserve">Min Bet (COP) </t>
  </si>
  <si>
    <t xml:space="preserve"> Max Bet (COP)</t>
  </si>
  <si>
    <t xml:space="preserve"> Default Bet (COP)</t>
  </si>
  <si>
    <t xml:space="preserve"> Max Exposure (COP)</t>
  </si>
  <si>
    <t>Chip Sizes</t>
  </si>
  <si>
    <t>El Brujo</t>
  </si>
  <si>
    <t>https://sitemga.mga.games/GameLauncher/gameLauncher.jsp?game=1001145&amp;clienttype=html5&amp;mid=1</t>
  </si>
  <si>
    <t>https://mga.games/games/el-brujo-megaways</t>
  </si>
  <si>
    <t>128,000,000.00 $ (RTP 95.17%) 
115,208,000.00 $ (RTP 90.26%) 
102,400,000.00 $ (RTP 83.27%, 85.09%)</t>
  </si>
  <si>
    <t>800.00 $, 1600.00 $, 3200.00 $, 6400.00 $, 12800.00 $, 25000.00 $, 40000.00 $, 60000.00 $, 80000.00 $</t>
  </si>
  <si>
    <t>x1600 (RTP 95.17%)
 x1440 (RTP 90.26%)
 x1280 (RTP 83.27%, 85.09%)</t>
  </si>
  <si>
    <t>83.27% - 85.09% - 90.26% - 95.17%</t>
  </si>
  <si>
    <t>Boxeador Invicto</t>
  </si>
  <si>
    <t>https://sitemga.mga.games/GameLauncher/gameLauncher.jsp?game=1001128&amp;clienttype=html5&amp;mid=1</t>
  </si>
  <si>
    <t>https://mga.games/games/boxeador-invicto-megaways</t>
  </si>
  <si>
    <t>102,400,000.00 $ (RTP 83.59%, 85.46%) 
128,000,000.00 $ (RTP 95.53%) 
115,208,000.00 $ (RTP 90.6%)</t>
  </si>
  <si>
    <t>x1280 (RTP 83.59%, 85.46%)
 x1600 (RTP 95.53%)
 x1440 (RTP 90.6%)</t>
  </si>
  <si>
    <t xml:space="preserve">83.59% - 85.46% - 90.6% - 95.53%  </t>
  </si>
  <si>
    <t>https://mga.games/games/abigail_ratchfords_treasure_quest</t>
  </si>
  <si>
    <t>810.00 $, 1590.00 $, 3000.00 $, 4500.00 $, 6000.00 $, 9000.00 $, 12000.00 $, 15000.00 $, 18000.00 $, 19500.00 $</t>
  </si>
  <si>
    <t xml:space="preserve"> 85.28% - 91.03% - 93.13% - 95.24%</t>
  </si>
  <si>
    <t>https://mga.games/games/castle_5r</t>
  </si>
  <si>
    <t>800.00 $, 1600.00 $, 3200.00 $, 6400.00 $, 12800.00 $, 25000.00 $, 50000.00 $, 100000.00 $, 130000.00 $</t>
  </si>
  <si>
    <t>85% - 89.99% - 95%</t>
  </si>
  <si>
    <t>35,59%</t>
  </si>
  <si>
    <t>Dama Fortuna</t>
  </si>
  <si>
    <t>https://sitemga.mga.games/GameLauncher/gameLauncher.jsp?game=1001140&amp;clienttype=html5&amp;mid=1</t>
  </si>
  <si>
    <t>https://mga.games/games/dama-fortuna</t>
  </si>
  <si>
    <t>800.00 $, 1600.00 $, 3200.00 $, 6500.00 $, 13000.00 $, 25000.00 $, 50000.00 $, 100000.00 $, 112500.00 $</t>
  </si>
  <si>
    <t xml:space="preserve">80.08% - 85.18% - 90.04% - 92.04% - 95.08% </t>
  </si>
  <si>
    <t>DJ In Session</t>
  </si>
  <si>
    <t>https://sitemga.mga.games/GameLauncher/gameLauncher.jsp?game=1001093&amp;clienttype=html5&amp;mid=1</t>
  </si>
  <si>
    <t>https://mga.games/games/diosa-jade</t>
  </si>
  <si>
    <t xml:space="preserve">54,675,000.00 $ (RTP 83.1%, 85.8%, 90.05%, 95.23%) 
131,220,000.00 $ (RTP 83.83%, 85.33%, 90.22%) 
153,090,000.00 $ (RTP 95.41%) 
328,050,000.00 $ (RTP 83.47%, 85.18%, 90.66%, 95.77%) </t>
  </si>
  <si>
    <t xml:space="preserve">x486 (RTP 83.1%, 85.8%, 90.05%, 95.23%)
 x1166 (RTP 83.83%, 85.33%, 90.22%)
 x1361 (RTP 95.41%)
 x2916 (RTP 83.47%, 85.18%, 90.66%, 95.77%) </t>
  </si>
  <si>
    <t>83.1% - 85.8% - 90.05% - 95.23% - 83.83% - 85.33% - 90.22% - 95.41% - 83.47% - 85.18% - 90.66% - 95.77%</t>
  </si>
  <si>
    <t>https://mga.games/games/dj-in-session</t>
  </si>
  <si>
    <t xml:space="preserve">296,419,500.00 $ (RTP 95.0%, 92.09%, 90.08%)
 237,334,500.00 $ (RTP 85.08%)
 178,834,500.00 $ (RTP 80.02%) </t>
  </si>
  <si>
    <t>800.00 $, 1600.00 $, 3200.00 $, 6400.00 $, 12800.00 $, 25600.00 $, 50000.00 $, 100000.00 $, 130000.00 $</t>
  </si>
  <si>
    <t xml:space="preserve">x2280 (RTP 95.0%, 92.09%, 90.08%)
 x1826 (RTP 85.08%)
 x1376 (RTP 80.02%) </t>
  </si>
  <si>
    <t>95.00% - 92.09% - 90.08% - 85.08% - 80.02%</t>
  </si>
  <si>
    <t>31,32</t>
  </si>
  <si>
    <t>https://mga.games/games/dream3team</t>
  </si>
  <si>
    <t>85.44% - 90.20% - 95%</t>
  </si>
  <si>
    <t>El Planeta de Las Gemas</t>
  </si>
  <si>
    <t>https://sitemga.mga.games/GameLauncher/gameLauncher.jsp?game=1001149&amp;clienttype=html5&amp;mid=1</t>
  </si>
  <si>
    <t>https://mga.games/games/el-planeta-de-las-gemas</t>
  </si>
  <si>
    <t xml:space="preserve">506,220,000.00 $ (RTP 95.0%, 92.09%, 90.08%)
 405,990,000.00 $ (RTP 85.08%)
 308,490,000.00 $ (RTP 80.02%) </t>
  </si>
  <si>
    <t xml:space="preserve">x3894 (RTP 95.0%, 92.09%, 90.08%)
 x3123 (RTP 85.08%)
 x2373 (RTP 80.02%) </t>
  </si>
  <si>
    <t>Estaca Plateada</t>
  </si>
  <si>
    <t>https://sitemga.mga.games/GameLauncher/gameLauncher.jsp?game=1001143&amp;clienttype=html5&amp;mid=1</t>
  </si>
  <si>
    <t>https://mga.games/games/estaca-plateada</t>
  </si>
  <si>
    <t>800.00 $, 1200.00 $, 1600.00 $, 2000.00 $, 2400.00 $, 2800.00 $, 3200.00 $, 6500.00 $, 13000.00 $, 24000.00 $</t>
  </si>
  <si>
    <t xml:space="preserve">86.35% - 91.05% - 92.89% - 94.99% - 96.01% </t>
  </si>
  <si>
    <t>https://sitemga.mga.games/GameLauncher/gameLauncher.jsp?game=1001100&amp;clienttype=html5&amp;mid=1</t>
  </si>
  <si>
    <t>https://mga.games/games/fonsi-nieto-deluxe-racing-life</t>
  </si>
  <si>
    <t>God of Seas</t>
  </si>
  <si>
    <t>https://sitemga.mga.games/GameLauncher/gameLauncher.jsp?game=1001118&amp;clienttype=html5&amp;mid=1</t>
  </si>
  <si>
    <t>https://mga.games/games/god-of-seas</t>
  </si>
  <si>
    <t xml:space="preserve">48,750,000.00 $ (RTP 95.01%)
 34,060,000.00 $ (RTP 93.06%, 91.0%, 85.02%) </t>
  </si>
  <si>
    <t xml:space="preserve">x375 (RTP 95.01%)
 x262 (RTP 93.06%, 91.0%, 85.02%) </t>
  </si>
  <si>
    <t>Gold Mermaid by Renata Gonzalez</t>
  </si>
  <si>
    <t>https://mga.games/games/gold_mermaid_by_renata_gonzalez</t>
  </si>
  <si>
    <t>Golden Throne</t>
  </si>
  <si>
    <t>https://sitemga.mga.games/GameLauncher/gameLauncher.jsp?game=1001081&amp;clienttype=html5&amp;mid=1</t>
  </si>
  <si>
    <t>https://mga.games/games/golden_throne</t>
  </si>
  <si>
    <t>GT World Challenge By Andy Soucek</t>
  </si>
  <si>
    <t>https://mga.games/games/gt_world_challenge_by_andy_soucek</t>
  </si>
  <si>
    <t>86.01% - 91.02% - 93.04% - 95.09% - 96.04%</t>
  </si>
  <si>
    <t>Jessica Weaver Queen of the Seas</t>
  </si>
  <si>
    <t>https://mga.games/games/jessica_weaver_queen_of_the_seas</t>
  </si>
  <si>
    <t xml:space="preserve">73,237,500.00 $ (RTP 95.05%)
 72,360,000.00 $ (RTP 93.13%, 91.02%)
 58,860,000.00 $ (RTP 85.14%, 80.13%) </t>
  </si>
  <si>
    <t xml:space="preserve">x651 (RTP 95.05%)
 x643 (RTP 93.13%, 91.02%)
 x523 (RTP 85.14%, 80.13%) </t>
  </si>
  <si>
    <t>95.05% - 93.13% - 91.02% - 85.14% - 80.13%</t>
  </si>
  <si>
    <t>https://mga.games/games/lucky_dragon</t>
  </si>
  <si>
    <t>86.08% - 91.05% - 96.12%</t>
  </si>
  <si>
    <t>22,99%</t>
  </si>
  <si>
    <t>https://sitemga.mga.games/GameLauncher/gameLauncher.jsp?game=1001109&amp;clienttype=html5&amp;mid=1</t>
  </si>
  <si>
    <t>https://mga.games/games/lucky-wave</t>
  </si>
  <si>
    <t>https://sitemga.mga.games/GameLauncher/gameLauncher.jsp?game=1001083&amp;clienttype=html5&amp;mid=1</t>
  </si>
  <si>
    <t>https://mga.games/games/paulo_futre_the_last_gladiator</t>
  </si>
  <si>
    <t xml:space="preserve">x2257 (RTP 95.0%, 92.09%, 90.08%)
 x1825 (RTP 85.08%)
 x1375 (RTP 80.02%) </t>
  </si>
  <si>
    <t>80.02% - 85.08% - 90.08% - 92.09% - 95.00%</t>
  </si>
  <si>
    <t>Queen of Persia</t>
  </si>
  <si>
    <t>https://sitemga.mga.games/GameLauncher/gameLauncher.jsp?game=1001130&amp;clienttype=html5&amp;mid=1</t>
  </si>
  <si>
    <t>https://mga.games/games/queen-of-persia</t>
  </si>
  <si>
    <t>85.28% - 91.03% - 93.13% - 95.24%</t>
  </si>
  <si>
    <t>https://mga.games/games/samantha_fox</t>
  </si>
  <si>
    <t>https://mga.games/games/wild_africa</t>
  </si>
  <si>
    <t>86.05%  - 90.75% - 95.96%</t>
  </si>
  <si>
    <t>41,67%</t>
  </si>
  <si>
    <t>https://mga.games/games/bikers_bingo</t>
  </si>
  <si>
    <t>800.00 $, 1600.00 $, 3200.00 $, 6000.00 $, 12000.00 $, 24000.00 $, 48000.00 $, 96000.00 $, 112000.00 $, 120000.00 $</t>
  </si>
  <si>
    <t>52,63%</t>
  </si>
  <si>
    <t>https://mga.games/games/buffalo_bingo</t>
  </si>
  <si>
    <t>0,52%</t>
  </si>
  <si>
    <t>https://mga.games/games/castle_bingo</t>
  </si>
  <si>
    <t>48,08%</t>
  </si>
  <si>
    <t>Champions</t>
  </si>
  <si>
    <t>https://mga.games/games/champion_bingo</t>
  </si>
  <si>
    <t>51,81%</t>
  </si>
  <si>
    <t>Circus</t>
  </si>
  <si>
    <t>https://mga.games/games/circus</t>
  </si>
  <si>
    <t>Hollywood</t>
  </si>
  <si>
    <t>https://mga.games/games/hollywood_bingo</t>
  </si>
  <si>
    <t>48,54%</t>
  </si>
  <si>
    <t>https://mga.games/games/magician_bingo</t>
  </si>
  <si>
    <t>51,02%</t>
  </si>
  <si>
    <t>https://mga.games/games/mariachis</t>
  </si>
  <si>
    <t>https://mga.games/games/rock_live_bingo</t>
  </si>
  <si>
    <t>45,87%</t>
  </si>
  <si>
    <t>https://mga.games/games/sea_bingo</t>
  </si>
  <si>
    <t>57,47%</t>
  </si>
  <si>
    <t>https://mga.games/games/sweet_home_bingo</t>
  </si>
  <si>
    <t>45,05%</t>
  </si>
  <si>
    <t>https://mga.games/games/zeus</t>
  </si>
  <si>
    <t>49,75%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</si>
</sst>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-[$$-409]* #,##0.00_ ;_-[$$-409]* \-#,##0.00\ ;_-[$$-409]* &quot;-&quot;??_ ;_-@_ "/>
  </numFmts>
  <fonts count="2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2"/>
      <name val="Calibri"/>
      <family val="2"/>
    </font>
    <font>
      <sz val="11"/>
      <color rgb="FFFF0000"/>
      <name val="Calibri"/>
      <family val="2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Calibri"/>
    </font>
    <font>
      <sz val="11"/>
      <name val="Calibri"/>
    </font>
    <font>
      <b/>
      <sz val="11"/>
      <color rgb="FFFFFFFF"/>
      <name val="Calibri"/>
      <family val="2"/>
    </font>
    <font>
      <b/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theme="0"/>
      <name val="Calibri"/>
      <family val="2"/>
    </font>
    <font>
      <b/>
      <sz val="12"/>
      <color rgb="FFFFFFFF"/>
      <name val="Calibri"/>
    </font>
    <font>
      <sz val="11"/>
      <color rgb="FF000000"/>
      <name val="Aptos Narrow"/>
      <family val="2"/>
      <scheme val="minor"/>
    </font>
    <font>
      <b/>
      <i/>
      <u/>
      <sz val="12"/>
      <color rgb="FFFFFFFF"/>
      <name val="Calibri"/>
    </font>
    <font>
      <b/>
      <i/>
      <sz val="11"/>
      <color rgb="FF000000"/>
      <name val="Calibri"/>
      <family val="2"/>
    </font>
    <font>
      <b/>
      <i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40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5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164" fontId="1" fillId="6" borderId="1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6" fillId="4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6" fillId="4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0" fontId="1" fillId="0" borderId="1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4" fontId="6" fillId="0" borderId="16" xfId="0" applyNumberFormat="1" applyFont="1" applyBorder="1" applyAlignment="1">
      <alignment horizontal="center" vertical="center"/>
    </xf>
    <xf numFmtId="14" fontId="6" fillId="0" borderId="14" xfId="0" applyNumberFormat="1" applyFont="1" applyBorder="1" applyAlignment="1">
      <alignment horizontal="center" vertical="center"/>
    </xf>
    <xf numFmtId="14" fontId="6" fillId="0" borderId="15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4" fontId="6" fillId="0" borderId="13" xfId="0" applyNumberFormat="1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10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10" fontId="1" fillId="6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15" fillId="0" borderId="8" xfId="1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6" fillId="4" borderId="3" xfId="0" applyFont="1" applyFill="1" applyBorder="1" applyAlignment="1">
      <alignment horizontal="center" vertical="center"/>
    </xf>
    <xf numFmtId="0" fontId="1" fillId="0" borderId="27" xfId="0" applyFont="1" applyBorder="1" applyAlignment="1">
      <alignment vertical="center"/>
    </xf>
    <xf numFmtId="14" fontId="6" fillId="0" borderId="29" xfId="0" applyNumberFormat="1" applyFont="1" applyBorder="1" applyAlignment="1">
      <alignment horizontal="center" vertical="center"/>
    </xf>
    <xf numFmtId="0" fontId="0" fillId="0" borderId="29" xfId="0" applyBorder="1" applyAlignment="1">
      <alignment vertical="center"/>
    </xf>
    <xf numFmtId="1" fontId="1" fillId="0" borderId="28" xfId="0" applyNumberFormat="1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0" fontId="1" fillId="0" borderId="28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165" fontId="5" fillId="2" borderId="24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10" fillId="0" borderId="3" xfId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5" fontId="1" fillId="0" borderId="32" xfId="0" applyNumberFormat="1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10" fillId="0" borderId="8" xfId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165" fontId="0" fillId="0" borderId="0" xfId="0" applyNumberFormat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14" fontId="5" fillId="2" borderId="22" xfId="0" applyNumberFormat="1" applyFont="1" applyFill="1" applyBorder="1" applyAlignment="1">
      <alignment horizontal="center" vertical="center"/>
    </xf>
    <xf numFmtId="1" fontId="5" fillId="2" borderId="24" xfId="0" applyNumberFormat="1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5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7" fillId="0" borderId="0" xfId="0" applyFont="1"/>
    <xf numFmtId="0" fontId="1" fillId="0" borderId="8" xfId="0" applyFont="1" applyBorder="1" applyAlignment="1">
      <alignment vertical="center" wrapText="1"/>
    </xf>
    <xf numFmtId="0" fontId="13" fillId="2" borderId="22" xfId="0" applyFont="1" applyFill="1" applyBorder="1" applyAlignment="1">
      <alignment horizontal="center" vertical="center"/>
    </xf>
    <xf numFmtId="164" fontId="5" fillId="2" borderId="24" xfId="0" applyNumberFormat="1" applyFont="1" applyFill="1" applyBorder="1" applyAlignment="1">
      <alignment horizontal="center" vertical="center"/>
    </xf>
    <xf numFmtId="10" fontId="5" fillId="2" borderId="24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4" fillId="0" borderId="34" xfId="1" applyFont="1" applyFill="1" applyBorder="1" applyAlignment="1">
      <alignment horizontal="center" vertical="center"/>
    </xf>
    <xf numFmtId="0" fontId="15" fillId="0" borderId="28" xfId="1" applyFont="1" applyBorder="1" applyAlignment="1">
      <alignment horizontal="center" vertical="center"/>
    </xf>
    <xf numFmtId="0" fontId="2" fillId="0" borderId="36" xfId="0" applyFont="1" applyBorder="1" applyAlignment="1">
      <alignment vertical="center"/>
    </xf>
    <xf numFmtId="0" fontId="8" fillId="7" borderId="37" xfId="0" applyFont="1" applyFill="1" applyBorder="1" applyAlignment="1">
      <alignment horizontal="center" vertical="center"/>
    </xf>
    <xf numFmtId="0" fontId="8" fillId="6" borderId="37" xfId="0" applyFont="1" applyFill="1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14" fillId="0" borderId="38" xfId="1" applyFont="1" applyFill="1" applyBorder="1" applyAlignment="1">
      <alignment horizontal="center" vertical="center"/>
    </xf>
    <xf numFmtId="0" fontId="15" fillId="0" borderId="37" xfId="1" applyFont="1" applyBorder="1" applyAlignment="1">
      <alignment horizontal="center" vertical="center"/>
    </xf>
    <xf numFmtId="1" fontId="1" fillId="0" borderId="37" xfId="0" applyNumberFormat="1" applyFont="1" applyBorder="1" applyAlignment="1">
      <alignment horizontal="center" vertical="center"/>
    </xf>
    <xf numFmtId="164" fontId="1" fillId="0" borderId="37" xfId="0" applyNumberFormat="1" applyFont="1" applyBorder="1" applyAlignment="1">
      <alignment horizontal="center" vertical="center"/>
    </xf>
    <xf numFmtId="10" fontId="1" fillId="0" borderId="37" xfId="0" applyNumberFormat="1" applyFont="1" applyBorder="1" applyAlignment="1">
      <alignment horizontal="center" vertical="center"/>
    </xf>
    <xf numFmtId="10" fontId="1" fillId="0" borderId="37" xfId="0" applyNumberFormat="1" applyFont="1" applyBorder="1" applyAlignment="1">
      <alignment vertical="center" wrapText="1"/>
    </xf>
    <xf numFmtId="10" fontId="1" fillId="0" borderId="37" xfId="0" quotePrefix="1" applyNumberFormat="1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vertical="center"/>
    </xf>
    <xf numFmtId="0" fontId="6" fillId="4" borderId="35" xfId="0" applyFont="1" applyFill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1" fillId="0" borderId="35" xfId="0" applyFont="1" applyBorder="1" applyAlignment="1">
      <alignment vertical="center"/>
    </xf>
    <xf numFmtId="0" fontId="15" fillId="0" borderId="35" xfId="1" applyFont="1" applyBorder="1" applyAlignment="1">
      <alignment horizontal="center" vertical="center"/>
    </xf>
    <xf numFmtId="1" fontId="1" fillId="0" borderId="35" xfId="0" applyNumberFormat="1" applyFont="1" applyBorder="1" applyAlignment="1">
      <alignment horizontal="center" vertical="center"/>
    </xf>
    <xf numFmtId="164" fontId="1" fillId="0" borderId="35" xfId="0" applyNumberFormat="1" applyFont="1" applyBorder="1" applyAlignment="1">
      <alignment horizontal="center" vertical="center"/>
    </xf>
    <xf numFmtId="164" fontId="1" fillId="0" borderId="34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vertical="center" wrapText="1"/>
    </xf>
    <xf numFmtId="10" fontId="1" fillId="0" borderId="35" xfId="0" applyNumberFormat="1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4" fillId="0" borderId="1" xfId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14" fillId="0" borderId="3" xfId="1" applyFont="1" applyFill="1" applyBorder="1" applyAlignment="1">
      <alignment horizontal="center" vertical="center"/>
    </xf>
    <xf numFmtId="164" fontId="1" fillId="0" borderId="3" xfId="0" applyNumberFormat="1" applyFont="1" applyBorder="1" applyAlignment="1">
      <alignment vertical="center"/>
    </xf>
    <xf numFmtId="0" fontId="14" fillId="0" borderId="8" xfId="1" applyFont="1" applyFill="1" applyBorder="1" applyAlignment="1">
      <alignment horizontal="center" vertical="center"/>
    </xf>
    <xf numFmtId="164" fontId="1" fillId="0" borderId="8" xfId="0" applyNumberFormat="1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4" fillId="0" borderId="28" xfId="1" applyFont="1" applyFill="1" applyBorder="1" applyAlignment="1">
      <alignment horizontal="center" vertical="center"/>
    </xf>
    <xf numFmtId="164" fontId="1" fillId="0" borderId="28" xfId="0" applyNumberFormat="1" applyFont="1" applyBorder="1" applyAlignment="1">
      <alignment vertical="center"/>
    </xf>
    <xf numFmtId="0" fontId="1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8" fillId="7" borderId="17" xfId="0" applyFont="1" applyFill="1" applyBorder="1" applyAlignment="1">
      <alignment horizontal="center" vertical="center"/>
    </xf>
    <xf numFmtId="0" fontId="8" fillId="7" borderId="1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 wrapText="1"/>
    </xf>
    <xf numFmtId="164" fontId="1" fillId="0" borderId="13" xfId="0" applyNumberFormat="1" applyFont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center" vertical="center" wrapText="1"/>
    </xf>
    <xf numFmtId="164" fontId="1" fillId="0" borderId="29" xfId="0" applyNumberFormat="1" applyFont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 wrapText="1"/>
    </xf>
    <xf numFmtId="164" fontId="1" fillId="0" borderId="1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4" fontId="1" fillId="0" borderId="28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14" fillId="0" borderId="11" xfId="1" applyFont="1" applyFill="1" applyBorder="1" applyAlignment="1">
      <alignment horizontal="center" vertical="center"/>
    </xf>
    <xf numFmtId="0" fontId="15" fillId="0" borderId="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vertical="center"/>
    </xf>
    <xf numFmtId="164" fontId="1" fillId="0" borderId="11" xfId="0" applyNumberFormat="1" applyFont="1" applyBorder="1" applyAlignment="1">
      <alignment vertical="center"/>
    </xf>
    <xf numFmtId="0" fontId="1" fillId="0" borderId="11" xfId="0" applyFont="1" applyBorder="1" applyAlignment="1">
      <alignment horizontal="center" vertical="center" wrapText="1"/>
    </xf>
    <xf numFmtId="164" fontId="5" fillId="2" borderId="24" xfId="0" applyNumberFormat="1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wrapText="1"/>
    </xf>
    <xf numFmtId="0" fontId="5" fillId="2" borderId="23" xfId="0" applyFont="1" applyFill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center" vertical="center" wrapText="1"/>
    </xf>
    <xf numFmtId="164" fontId="1" fillId="0" borderId="34" xfId="0" applyNumberFormat="1" applyFont="1" applyBorder="1" applyAlignment="1">
      <alignment horizontal="center" vertical="center" wrapText="1"/>
    </xf>
    <xf numFmtId="164" fontId="1" fillId="0" borderId="35" xfId="0" applyNumberFormat="1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164" fontId="1" fillId="0" borderId="37" xfId="0" applyNumberFormat="1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10" fontId="1" fillId="0" borderId="37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164" fontId="0" fillId="0" borderId="0" xfId="0" applyNumberFormat="1" applyAlignment="1">
      <alignment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5" fillId="2" borderId="22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9" fontId="1" fillId="0" borderId="1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6" fillId="2" borderId="23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4" fontId="17" fillId="2" borderId="24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4" fillId="0" borderId="17" xfId="1" applyFont="1" applyFill="1" applyBorder="1" applyAlignment="1">
      <alignment horizontal="center" vertical="center"/>
    </xf>
    <xf numFmtId="0" fontId="14" fillId="0" borderId="18" xfId="1" applyFont="1" applyFill="1" applyBorder="1" applyAlignment="1">
      <alignment horizontal="center" vertical="center"/>
    </xf>
    <xf numFmtId="0" fontId="14" fillId="0" borderId="30" xfId="1" applyFont="1" applyFill="1" applyBorder="1" applyAlignment="1">
      <alignment horizontal="center" vertical="center"/>
    </xf>
    <xf numFmtId="0" fontId="14" fillId="0" borderId="19" xfId="1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4" fillId="0" borderId="20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6" fillId="8" borderId="31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" fillId="0" borderId="45" xfId="0" applyFont="1" applyBorder="1"/>
    <xf numFmtId="0" fontId="1" fillId="0" borderId="46" xfId="0" applyFont="1" applyBorder="1"/>
    <xf numFmtId="0" fontId="1" fillId="0" borderId="47" xfId="0" applyFont="1" applyBorder="1"/>
    <xf numFmtId="0" fontId="1" fillId="0" borderId="48" xfId="0" applyFont="1" applyBorder="1"/>
    <xf numFmtId="0" fontId="10" fillId="0" borderId="18" xfId="1" applyBorder="1"/>
    <xf numFmtId="0" fontId="1" fillId="0" borderId="18" xfId="0" applyFont="1" applyBorder="1"/>
    <xf numFmtId="0" fontId="14" fillId="0" borderId="25" xfId="1" applyFont="1" applyFill="1" applyBorder="1" applyAlignment="1">
      <alignment horizontal="center" vertical="center"/>
    </xf>
    <xf numFmtId="0" fontId="14" fillId="9" borderId="1" xfId="1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10" fillId="0" borderId="13" xfId="1" applyBorder="1" applyAlignment="1">
      <alignment vertical="center"/>
    </xf>
    <xf numFmtId="0" fontId="6" fillId="10" borderId="49" xfId="0" applyFont="1" applyFill="1" applyBorder="1"/>
    <xf numFmtId="0" fontId="10" fillId="10" borderId="52" xfId="1" applyFill="1" applyBorder="1" applyAlignment="1">
      <alignment horizontal="center"/>
    </xf>
    <xf numFmtId="0" fontId="1" fillId="10" borderId="52" xfId="0" applyFont="1" applyFill="1" applyBorder="1" applyAlignment="1">
      <alignment horizontal="center"/>
    </xf>
    <xf numFmtId="0" fontId="10" fillId="10" borderId="50" xfId="1" applyFill="1" applyBorder="1" applyAlignment="1">
      <alignment horizontal="center"/>
    </xf>
    <xf numFmtId="0" fontId="1" fillId="10" borderId="50" xfId="0" applyFont="1" applyFill="1" applyBorder="1" applyAlignment="1">
      <alignment horizontal="center"/>
    </xf>
    <xf numFmtId="0" fontId="6" fillId="10" borderId="49" xfId="0" applyFont="1" applyFill="1" applyBorder="1" applyAlignment="1">
      <alignment horizontal="left"/>
    </xf>
    <xf numFmtId="0" fontId="6" fillId="10" borderId="5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6" fillId="5" borderId="52" xfId="0" applyFont="1" applyFill="1" applyBorder="1" applyAlignment="1">
      <alignment horizontal="center" vertical="center"/>
    </xf>
    <xf numFmtId="0" fontId="6" fillId="5" borderId="50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6" fillId="0" borderId="52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14" fillId="0" borderId="52" xfId="1" applyFont="1" applyFill="1" applyBorder="1" applyAlignment="1">
      <alignment horizontal="center" vertical="center"/>
    </xf>
    <xf numFmtId="0" fontId="14" fillId="0" borderId="50" xfId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164" fontId="1" fillId="0" borderId="52" xfId="0" applyNumberFormat="1" applyFont="1" applyBorder="1" applyAlignment="1">
      <alignment horizontal="center" vertical="center" wrapText="1"/>
    </xf>
    <xf numFmtId="164" fontId="1" fillId="0" borderId="50" xfId="0" applyNumberFormat="1" applyFont="1" applyBorder="1" applyAlignment="1">
      <alignment horizontal="center" vertical="center" wrapText="1"/>
    </xf>
    <xf numFmtId="10" fontId="1" fillId="0" borderId="52" xfId="0" applyNumberFormat="1" applyFont="1" applyBorder="1" applyAlignment="1">
      <alignment horizontal="center" vertical="center"/>
    </xf>
    <xf numFmtId="10" fontId="1" fillId="0" borderId="50" xfId="0" applyNumberFormat="1" applyFont="1" applyBorder="1" applyAlignment="1">
      <alignment horizontal="center" vertical="center"/>
    </xf>
    <xf numFmtId="0" fontId="1" fillId="10" borderId="6" xfId="0" applyFont="1" applyFill="1" applyBorder="1" applyAlignment="1">
      <alignment horizontal="center"/>
    </xf>
    <xf numFmtId="0" fontId="1" fillId="0" borderId="52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6" fillId="3" borderId="50" xfId="0" applyFont="1" applyFill="1" applyBorder="1" applyAlignment="1">
      <alignment horizontal="center"/>
    </xf>
    <xf numFmtId="164" fontId="1" fillId="10" borderId="50" xfId="0" applyNumberFormat="1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 vertical="center"/>
    </xf>
    <xf numFmtId="0" fontId="14" fillId="10" borderId="50" xfId="1" applyFont="1" applyFill="1" applyBorder="1" applyAlignment="1">
      <alignment horizontal="center"/>
    </xf>
    <xf numFmtId="10" fontId="1" fillId="10" borderId="50" xfId="0" applyNumberFormat="1" applyFont="1" applyFill="1" applyBorder="1" applyAlignment="1">
      <alignment horizontal="center"/>
    </xf>
    <xf numFmtId="10" fontId="2" fillId="0" borderId="1" xfId="0" applyNumberFormat="1" applyFont="1" applyBorder="1" applyAlignment="1">
      <alignment horizontal="center" vertical="center" wrapText="1"/>
    </xf>
    <xf numFmtId="0" fontId="14" fillId="10" borderId="52" xfId="1" applyFont="1" applyFill="1" applyBorder="1" applyAlignment="1">
      <alignment horizontal="center"/>
    </xf>
    <xf numFmtId="0" fontId="14" fillId="10" borderId="1" xfId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10" fontId="1" fillId="10" borderId="1" xfId="0" applyNumberFormat="1" applyFont="1" applyFill="1" applyBorder="1" applyAlignment="1">
      <alignment horizontal="center"/>
    </xf>
    <xf numFmtId="14" fontId="6" fillId="10" borderId="52" xfId="0" applyNumberFormat="1" applyFont="1" applyFill="1" applyBorder="1" applyAlignment="1">
      <alignment horizont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14" fontId="20" fillId="0" borderId="8" xfId="0" applyNumberFormat="1" applyFont="1" applyBorder="1" applyAlignment="1">
      <alignment horizontal="center" vertical="center"/>
    </xf>
    <xf numFmtId="14" fontId="20" fillId="0" borderId="35" xfId="0" applyNumberFormat="1" applyFont="1" applyBorder="1" applyAlignment="1">
      <alignment horizontal="center" vertical="center"/>
    </xf>
    <xf numFmtId="14" fontId="21" fillId="0" borderId="37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14" fontId="7" fillId="0" borderId="0" xfId="0" applyNumberFormat="1" applyFont="1" applyAlignment="1">
      <alignment vertical="center"/>
    </xf>
    <xf numFmtId="0" fontId="6" fillId="3" borderId="1" xfId="0" applyFont="1" applyFill="1" applyBorder="1" applyAlignment="1">
      <alignment horizontal="center"/>
    </xf>
    <xf numFmtId="14" fontId="6" fillId="10" borderId="1" xfId="0" applyNumberFormat="1" applyFont="1" applyFill="1" applyBorder="1" applyAlignment="1">
      <alignment horizontal="center"/>
    </xf>
    <xf numFmtId="0" fontId="10" fillId="10" borderId="1" xfId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4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/>
    </xf>
    <xf numFmtId="0" fontId="1" fillId="0" borderId="5" xfId="0" applyFont="1" applyBorder="1" applyAlignment="1">
      <alignment horizontal="left"/>
    </xf>
    <xf numFmtId="164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6" fillId="10" borderId="51" xfId="0" applyFont="1" applyFill="1" applyBorder="1"/>
    <xf numFmtId="0" fontId="1" fillId="10" borderId="52" xfId="0" applyFont="1" applyFill="1" applyBorder="1"/>
    <xf numFmtId="0" fontId="10" fillId="10" borderId="52" xfId="1" applyFill="1" applyBorder="1" applyAlignment="1"/>
    <xf numFmtId="0" fontId="6" fillId="4" borderId="52" xfId="0" applyFont="1" applyFill="1" applyBorder="1" applyAlignment="1">
      <alignment horizontal="center"/>
    </xf>
    <xf numFmtId="0" fontId="6" fillId="10" borderId="5" xfId="0" applyFont="1" applyFill="1" applyBorder="1"/>
    <xf numFmtId="0" fontId="6" fillId="5" borderId="18" xfId="0" applyFont="1" applyFill="1" applyBorder="1" applyAlignment="1">
      <alignment horizontal="center"/>
    </xf>
    <xf numFmtId="0" fontId="6" fillId="6" borderId="14" xfId="0" applyFont="1" applyFill="1" applyBorder="1" applyAlignment="1">
      <alignment horizontal="center"/>
    </xf>
    <xf numFmtId="0" fontId="1" fillId="0" borderId="50" xfId="0" applyFont="1" applyBorder="1" applyAlignment="1">
      <alignment vertical="center"/>
    </xf>
    <xf numFmtId="0" fontId="1" fillId="0" borderId="52" xfId="0" applyFont="1" applyBorder="1" applyAlignment="1">
      <alignment vertical="center"/>
    </xf>
    <xf numFmtId="0" fontId="10" fillId="10" borderId="1" xfId="1" applyFill="1" applyBorder="1" applyAlignment="1"/>
    <xf numFmtId="0" fontId="1" fillId="10" borderId="1" xfId="0" applyFont="1" applyFill="1" applyBorder="1"/>
    <xf numFmtId="164" fontId="1" fillId="0" borderId="50" xfId="0" applyNumberFormat="1" applyFont="1" applyBorder="1" applyAlignment="1">
      <alignment vertical="center"/>
    </xf>
    <xf numFmtId="164" fontId="1" fillId="0" borderId="52" xfId="0" applyNumberFormat="1" applyFont="1" applyBorder="1" applyAlignment="1">
      <alignment vertical="center"/>
    </xf>
    <xf numFmtId="0" fontId="1" fillId="0" borderId="50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1" fillId="10" borderId="6" xfId="0" applyFont="1" applyFill="1" applyBorder="1"/>
    <xf numFmtId="0" fontId="6" fillId="4" borderId="28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64" fontId="1" fillId="10" borderId="52" xfId="0" applyNumberFormat="1" applyFont="1" applyFill="1" applyBorder="1"/>
    <xf numFmtId="164" fontId="1" fillId="10" borderId="1" xfId="0" applyNumberFormat="1" applyFont="1" applyFill="1" applyBorder="1"/>
    <xf numFmtId="0" fontId="6" fillId="5" borderId="17" xfId="0" applyFont="1" applyFill="1" applyBorder="1" applyAlignment="1">
      <alignment horizontal="center" vertical="center"/>
    </xf>
    <xf numFmtId="0" fontId="1" fillId="0" borderId="53" xfId="0" applyFont="1" applyBorder="1" applyAlignment="1">
      <alignment vertical="center"/>
    </xf>
    <xf numFmtId="0" fontId="1" fillId="0" borderId="54" xfId="0" applyFont="1" applyBorder="1" applyAlignment="1">
      <alignment horizontal="center" vertical="center"/>
    </xf>
    <xf numFmtId="0" fontId="1" fillId="0" borderId="55" xfId="0" applyFont="1" applyBorder="1" applyAlignment="1">
      <alignment vertical="center"/>
    </xf>
    <xf numFmtId="0" fontId="1" fillId="0" borderId="56" xfId="0" applyFont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4" fontId="1" fillId="10" borderId="1" xfId="0" applyNumberFormat="1" applyFont="1" applyFill="1" applyBorder="1" applyAlignment="1">
      <alignment horizontal="center"/>
    </xf>
    <xf numFmtId="14" fontId="20" fillId="0" borderId="28" xfId="0" applyNumberFormat="1" applyFont="1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1" fillId="0" borderId="28" xfId="0" applyFont="1" applyBorder="1" applyAlignment="1">
      <alignment vertical="center" wrapText="1"/>
    </xf>
    <xf numFmtId="0" fontId="2" fillId="0" borderId="28" xfId="0" applyFont="1" applyBorder="1" applyAlignment="1">
      <alignment horizontal="center" vertical="center" wrapText="1"/>
    </xf>
    <xf numFmtId="14" fontId="21" fillId="0" borderId="3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10" fillId="0" borderId="1" xfId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14" fontId="7" fillId="0" borderId="1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/>
    </xf>
    <xf numFmtId="0" fontId="10" fillId="0" borderId="1" xfId="1" applyBorder="1" applyAlignment="1">
      <alignment vertical="center"/>
    </xf>
    <xf numFmtId="14" fontId="6" fillId="9" borderId="1" xfId="0" applyNumberFormat="1" applyFont="1" applyFill="1" applyBorder="1" applyAlignment="1">
      <alignment horizontal="center"/>
    </xf>
    <xf numFmtId="0" fontId="10" fillId="9" borderId="1" xfId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10" fillId="0" borderId="1" xfId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15" fillId="9" borderId="1" xfId="1" applyFont="1" applyFill="1" applyBorder="1" applyAlignment="1">
      <alignment horizontal="center" vertical="center"/>
    </xf>
    <xf numFmtId="0" fontId="6" fillId="5" borderId="50" xfId="0" applyFont="1" applyFill="1" applyBorder="1" applyAlignment="1">
      <alignment horizontal="center"/>
    </xf>
    <xf numFmtId="0" fontId="6" fillId="6" borderId="50" xfId="0" applyFont="1" applyFill="1" applyBorder="1" applyAlignment="1">
      <alignment horizontal="center"/>
    </xf>
    <xf numFmtId="14" fontId="1" fillId="10" borderId="50" xfId="0" applyNumberFormat="1" applyFont="1" applyFill="1" applyBorder="1" applyAlignment="1">
      <alignment horizontal="center"/>
    </xf>
    <xf numFmtId="0" fontId="1" fillId="10" borderId="49" xfId="0" applyFont="1" applyFill="1" applyBorder="1" applyAlignment="1">
      <alignment horizontal="center"/>
    </xf>
    <xf numFmtId="0" fontId="1" fillId="0" borderId="5" xfId="0" applyFont="1" applyBorder="1"/>
    <xf numFmtId="164" fontId="1" fillId="9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indexed="64"/>
          <bgColor rgb="FFFFEF9C"/>
        </patternFill>
      </fill>
    </dxf>
    <dxf>
      <font>
        <color rgb="FF000000"/>
      </font>
      <fill>
        <patternFill patternType="solid">
          <fgColor indexed="64"/>
          <bgColor rgb="FFFFEF9C"/>
        </patternFill>
      </fill>
    </dxf>
    <dxf>
      <font>
        <color rgb="FF000000"/>
      </font>
      <fill>
        <patternFill patternType="solid">
          <fgColor indexed="64"/>
          <bgColor rgb="FFFFEF9C"/>
        </patternFill>
      </fill>
    </dxf>
    <dxf>
      <font>
        <color rgb="FF000000"/>
      </font>
      <fill>
        <patternFill patternType="solid">
          <fgColor indexed="64"/>
          <bgColor rgb="FFFFEF9C"/>
        </patternFill>
      </fill>
    </dxf>
    <dxf>
      <font>
        <color rgb="FF000000"/>
      </font>
      <fill>
        <patternFill patternType="solid">
          <fgColor indexed="64"/>
          <bgColor rgb="FFFFEF9C"/>
        </patternFill>
      </fill>
    </dxf>
    <dxf>
      <font>
        <color rgb="FF000000"/>
      </font>
      <fill>
        <patternFill patternType="solid">
          <fgColor indexed="64"/>
          <bgColor rgb="FFFFEF9C"/>
        </patternFill>
      </fill>
    </dxf>
    <dxf>
      <font>
        <color rgb="FF000000"/>
      </font>
      <fill>
        <patternFill patternType="solid">
          <fgColor indexed="64"/>
          <bgColor rgb="FFFFEF9C"/>
        </patternFill>
      </fill>
    </dxf>
    <dxf>
      <font>
        <color rgb="FF000000"/>
      </font>
      <fill>
        <patternFill patternType="solid">
          <fgColor indexed="64"/>
          <bgColor rgb="FFFFEF9C"/>
        </patternFill>
      </fill>
    </dxf>
    <dxf>
      <font>
        <color rgb="FF000000"/>
      </font>
      <fill>
        <patternFill patternType="solid">
          <fgColor indexed="64"/>
          <bgColor rgb="FFFFEF9C"/>
        </patternFill>
      </fill>
    </dxf>
    <dxf>
      <font>
        <color rgb="FF000000"/>
      </font>
      <fill>
        <patternFill patternType="solid">
          <fgColor indexed="64"/>
          <bgColor rgb="FFFFEF9C"/>
        </patternFill>
      </fill>
    </dxf>
    <dxf>
      <font>
        <color rgb="FF000000"/>
      </font>
      <fill>
        <patternFill patternType="solid">
          <fgColor indexed="64"/>
          <bgColor rgb="FFFFEF9C"/>
        </patternFill>
      </fill>
    </dxf>
    <dxf>
      <font>
        <color rgb="FF000000"/>
      </font>
      <fill>
        <patternFill patternType="solid">
          <fgColor indexed="64"/>
          <bgColor rgb="FFFFEF9C"/>
        </patternFill>
      </fill>
    </dxf>
    <dxf>
      <font>
        <color rgb="FF000000"/>
      </font>
      <fill>
        <patternFill patternType="solid">
          <fgColor indexed="64"/>
          <bgColor rgb="FFFFEF9C"/>
        </patternFill>
      </fill>
    </dxf>
    <dxf>
      <font>
        <color rgb="FF000000"/>
      </font>
      <fill>
        <patternFill patternType="solid">
          <fgColor indexed="64"/>
          <bgColor rgb="FFFFEF9C"/>
        </patternFill>
      </fill>
    </dxf>
    <dxf>
      <font>
        <color rgb="FF000000"/>
      </font>
      <fill>
        <patternFill patternType="solid">
          <fgColor indexed="64"/>
          <bgColor rgb="FFFFEF9C"/>
        </patternFill>
      </fill>
    </dxf>
    <dxf>
      <font>
        <color rgb="FF000000"/>
      </font>
      <fill>
        <patternFill patternType="solid">
          <fgColor indexed="64"/>
          <bgColor rgb="FFFFEF9C"/>
        </patternFill>
      </fill>
    </dxf>
    <dxf>
      <font>
        <color rgb="FF000000"/>
      </font>
      <fill>
        <patternFill patternType="solid">
          <fgColor indexed="64"/>
          <bgColor rgb="FFFFEF9C"/>
        </patternFill>
      </fill>
    </dxf>
    <dxf>
      <font>
        <color rgb="FF000000"/>
      </font>
      <fill>
        <patternFill patternType="solid">
          <fgColor indexed="64"/>
          <bgColor rgb="FFFFEF9C"/>
        </patternFill>
      </fill>
    </dxf>
  </dxfs>
  <tableStyles count="0" defaultTableStyle="TableStyleMedium2" defaultPivotStyle="PivotStyleMedium9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itemga.mga.games/GameLauncher/gameLauncher.jsp?game=1001500&amp;clienttype=html5&amp;mid=1" TargetMode="External"/><Relationship Id="rId13" Type="http://schemas.openxmlformats.org/officeDocument/2006/relationships/hyperlink" Target="https://sitemga.mga.games/GameLauncher/gameLauncher.jsp?game=1000149&amp;clienttype=html5&amp;mid=1" TargetMode="External"/><Relationship Id="rId18" Type="http://schemas.openxmlformats.org/officeDocument/2006/relationships/hyperlink" Target="https://sitemga.mga.games/GameLauncher/gameLauncher.jsp?game=1000098&amp;clienttype=html5&amp;mid=1" TargetMode="External"/><Relationship Id="rId26" Type="http://schemas.openxmlformats.org/officeDocument/2006/relationships/hyperlink" Target="https://sitemga.mga.games/GameLauncher/gameLauncher.jsp?game=1001540&amp;clienttype=html5&amp;mid=1" TargetMode="External"/><Relationship Id="rId3" Type="http://schemas.openxmlformats.org/officeDocument/2006/relationships/hyperlink" Target="https://sitemga.mga.games/GameLauncher/gameLauncher.jsp?game=1000128&amp;clienttype=html5&amp;mid=2" TargetMode="External"/><Relationship Id="rId21" Type="http://schemas.openxmlformats.org/officeDocument/2006/relationships/hyperlink" Target="https://sitemga.mga.games/GameLauncher/gameLauncher.jsp?game=1000113&amp;clienttype=html5&amp;mid=1" TargetMode="External"/><Relationship Id="rId7" Type="http://schemas.openxmlformats.org/officeDocument/2006/relationships/hyperlink" Target="https://sitemga.mga.games/GameLauncher/gameLauncher.jsp?game=1001533&amp;clienttype=html5&amp;mid=1" TargetMode="External"/><Relationship Id="rId12" Type="http://schemas.openxmlformats.org/officeDocument/2006/relationships/hyperlink" Target="https://sitemga.mga.games/GameLauncher/gameLauncher.jsp?game=1000149&amp;clienttype=html5&amp;mid=1" TargetMode="External"/><Relationship Id="rId17" Type="http://schemas.openxmlformats.org/officeDocument/2006/relationships/hyperlink" Target="https://sitemga.mga.games/GameLauncher/gameLauncher.jsp?game=1000152&amp;clienttype=html5&amp;mid=1" TargetMode="External"/><Relationship Id="rId25" Type="http://schemas.openxmlformats.org/officeDocument/2006/relationships/hyperlink" Target="https://sitemga.mga.games/GameLauncher/gameLauncher.jsp?game=1001540&amp;clienttype=html5&amp;mid=1" TargetMode="External"/><Relationship Id="rId2" Type="http://schemas.openxmlformats.org/officeDocument/2006/relationships/hyperlink" Target="https://sitemga.mga.games/GameLauncher/gameLauncher.jsp?game=1001067&amp;clienttype=html5&amp;mid=1" TargetMode="External"/><Relationship Id="rId16" Type="http://schemas.openxmlformats.org/officeDocument/2006/relationships/hyperlink" Target="https://sitemga.mga.games/GameLauncher/gameLauncher.jsp?game=1000152&amp;clienttype=html5&amp;mid=1" TargetMode="External"/><Relationship Id="rId20" Type="http://schemas.openxmlformats.org/officeDocument/2006/relationships/hyperlink" Target="https://sitemga.mga.games/GameLauncher/gameLauncher.jsp?game=1000158&amp;clienttype=html5&amp;mid=1" TargetMode="External"/><Relationship Id="rId29" Type="http://schemas.openxmlformats.org/officeDocument/2006/relationships/hyperlink" Target="https://sitemga.mga.games/GameLauncher/gameLauncher.jsp?game=1000159&amp;clienttype=html5&amp;mid=1" TargetMode="External"/><Relationship Id="rId1" Type="http://schemas.openxmlformats.org/officeDocument/2006/relationships/hyperlink" Target="https://sitemga.mga.games/GameLauncher/gameLauncher.jsp?game=1001439&amp;clienttype=html5&amp;mid=2" TargetMode="External"/><Relationship Id="rId6" Type="http://schemas.openxmlformats.org/officeDocument/2006/relationships/hyperlink" Target="https://sitemga.mga.games/GameLauncher/gameLauncher.jsp?game=1001533&amp;clienttype=html5&amp;mid=1" TargetMode="External"/><Relationship Id="rId11" Type="http://schemas.openxmlformats.org/officeDocument/2006/relationships/hyperlink" Target="https://sitemga.mga.games/GameLauncher/gameLauncher.jsp?game=1001537&amp;clienttype=html5&amp;mid=1" TargetMode="External"/><Relationship Id="rId24" Type="http://schemas.openxmlformats.org/officeDocument/2006/relationships/hyperlink" Target="https://sitemga.mga.games/GameLauncher/gameLauncher.jsp?game=1001549&amp;clienttype=html5&amp;mid=1" TargetMode="External"/><Relationship Id="rId5" Type="http://schemas.openxmlformats.org/officeDocument/2006/relationships/hyperlink" Target="https://sitemga.mga.games/GameLauncher/gameLauncher.jsp?game=1001174&amp;clienttype=html5&amp;mid=1" TargetMode="External"/><Relationship Id="rId15" Type="http://schemas.openxmlformats.org/officeDocument/2006/relationships/hyperlink" Target="https://sitemga.mga.games/GameLauncher/gameLauncher.jsp?game=1000153&amp;clienttype=html5&amp;mid=1" TargetMode="External"/><Relationship Id="rId23" Type="http://schemas.openxmlformats.org/officeDocument/2006/relationships/hyperlink" Target="https://sitemga.mga.games/GameLauncher/gameLauncher.jsp?game=1001549&amp;clienttype=html5&amp;mid=1" TargetMode="External"/><Relationship Id="rId28" Type="http://schemas.openxmlformats.org/officeDocument/2006/relationships/hyperlink" Target="https://sitemga.mga.games/GameLauncher/gameLauncher.jsp?game=1001543&amp;clienttype=html5&amp;mid=1" TargetMode="External"/><Relationship Id="rId10" Type="http://schemas.openxmlformats.org/officeDocument/2006/relationships/hyperlink" Target="https://sitemga.mga.games/GameLauncher/gameLauncher.jsp?game=1001537&amp;clienttype=html5&amp;mid=1" TargetMode="External"/><Relationship Id="rId19" Type="http://schemas.openxmlformats.org/officeDocument/2006/relationships/hyperlink" Target="https://sitemga.mga.games/GameLauncher/gameLauncher.jsp?game=1000158&amp;clienttype=html5&amp;mid=1" TargetMode="External"/><Relationship Id="rId4" Type="http://schemas.openxmlformats.org/officeDocument/2006/relationships/hyperlink" Target="https://sitemga.mga.games/GameLauncher/gameLauncher.jsp?game=1001064&amp;clienttype=html5&amp;mid=1" TargetMode="External"/><Relationship Id="rId9" Type="http://schemas.openxmlformats.org/officeDocument/2006/relationships/hyperlink" Target="https://sitemga.mga.games/GameLauncher/gameLauncher.jsp?game=1001500&amp;clienttype=html5&amp;mid=1" TargetMode="External"/><Relationship Id="rId14" Type="http://schemas.openxmlformats.org/officeDocument/2006/relationships/hyperlink" Target="https://sitemga.mga.games/GameLauncher/gameLauncher.jsp?game=1000153&amp;clienttype=html5&amp;mid=1" TargetMode="External"/><Relationship Id="rId22" Type="http://schemas.openxmlformats.org/officeDocument/2006/relationships/hyperlink" Target="https://sitemga.mga.games/GameLauncher/gameLauncher.jsp?game=1000113&amp;clienttype=html5&amp;mid=1" TargetMode="External"/><Relationship Id="rId27" Type="http://schemas.openxmlformats.org/officeDocument/2006/relationships/hyperlink" Target="https://sitemga.mga.games/GameLauncher/gameLauncher.jsp?game=1001543&amp;clienttype=html5&amp;mid=1" TargetMode="External"/><Relationship Id="rId30" Type="http://schemas.openxmlformats.org/officeDocument/2006/relationships/hyperlink" Target="https://sitemga.mga.games/GameLauncher/gameLauncher.jsp?game=1000159&amp;clienttype=html5&amp;mid=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itemga.mga.games/GameLauncher/gameLauncher.jsp?game=1001226&amp;clienttype=html5&amp;mid=1" TargetMode="External"/><Relationship Id="rId13" Type="http://schemas.openxmlformats.org/officeDocument/2006/relationships/hyperlink" Target="https://sitemga.mga.games/GameLauncher/gameLauncher.jsp?game=1001538&amp;clienttype=html5&amp;mid=1" TargetMode="External"/><Relationship Id="rId3" Type="http://schemas.openxmlformats.org/officeDocument/2006/relationships/hyperlink" Target="https://sitemga.mga.games/GameLauncher/gameLauncher.jsp?game=1001501&amp;clienttype=html5&amp;mid=1" TargetMode="External"/><Relationship Id="rId7" Type="http://schemas.openxmlformats.org/officeDocument/2006/relationships/hyperlink" Target="https://sitemga.mga.games/GameLauncher/gameLauncher.jsp?game=1001371&amp;clienttype=html5&amp;mid=1" TargetMode="External"/><Relationship Id="rId12" Type="http://schemas.openxmlformats.org/officeDocument/2006/relationships/hyperlink" Target="https://sitemga.mga.games/GameLauncher/gameLauncher.jsp?game=1001538&amp;clienttype=html5&amp;mid=1" TargetMode="External"/><Relationship Id="rId17" Type="http://schemas.openxmlformats.org/officeDocument/2006/relationships/hyperlink" Target="https://sitemga.mga.games/GameLauncher/gameLauncher.jsp?game=1001365&amp;clienttype=html5&amp;mid=1" TargetMode="External"/><Relationship Id="rId2" Type="http://schemas.openxmlformats.org/officeDocument/2006/relationships/hyperlink" Target="https://sitemga.mga.games/GameLauncher/gameLauncher.jsp?game=1001501&amp;clienttype=html5&amp;mid=1" TargetMode="External"/><Relationship Id="rId16" Type="http://schemas.openxmlformats.org/officeDocument/2006/relationships/hyperlink" Target="https://sitemga.mga.games/GameLauncher/gameLauncher.jsp?game=1001365&amp;clienttype=html5&amp;mid=1" TargetMode="External"/><Relationship Id="rId1" Type="http://schemas.openxmlformats.org/officeDocument/2006/relationships/hyperlink" Target="https://sitemga.mga.games/GameLauncher/gameLauncher.jsp?game=1001529&amp;clienttype=html5&amp;mid=2" TargetMode="External"/><Relationship Id="rId6" Type="http://schemas.openxmlformats.org/officeDocument/2006/relationships/hyperlink" Target="https://sitemga.mga.games/GameLauncher/gameLauncher.jsp?game=1001371&amp;clienttype=html5&amp;mid=1" TargetMode="External"/><Relationship Id="rId11" Type="http://schemas.openxmlformats.org/officeDocument/2006/relationships/hyperlink" Target="https://sitemga.mga.games/GameLauncher/gameLauncher.jsp?game=1001544&amp;clienttype=html5&amp;mid=1" TargetMode="External"/><Relationship Id="rId5" Type="http://schemas.openxmlformats.org/officeDocument/2006/relationships/hyperlink" Target="https://sitemga.mga.games/GameLauncher/gameLauncher.jsp?game=1001534&amp;clienttype=html5&amp;mid=1" TargetMode="External"/><Relationship Id="rId15" Type="http://schemas.openxmlformats.org/officeDocument/2006/relationships/hyperlink" Target="https://sitemga.mga.games/GameLauncher/gameLauncher.jsp?game=1001541&amp;clienttype=html5&amp;mid=1" TargetMode="External"/><Relationship Id="rId10" Type="http://schemas.openxmlformats.org/officeDocument/2006/relationships/hyperlink" Target="https://sitemga.mga.games/GameLauncher/gameLauncher.jsp?game=1001544&amp;clienttype=html5&amp;mid=1" TargetMode="External"/><Relationship Id="rId4" Type="http://schemas.openxmlformats.org/officeDocument/2006/relationships/hyperlink" Target="https://sitemga.mga.games/GameLauncher/gameLauncher.jsp?game=1001534&amp;clienttype=html5&amp;mid=1" TargetMode="External"/><Relationship Id="rId9" Type="http://schemas.openxmlformats.org/officeDocument/2006/relationships/hyperlink" Target="https://sitemga.mga.games/GameLauncher/gameLauncher.jsp?game=1001226&amp;clienttype=html5&amp;mid=1" TargetMode="External"/><Relationship Id="rId14" Type="http://schemas.openxmlformats.org/officeDocument/2006/relationships/hyperlink" Target="https://sitemga.mga.games/GameLauncher/gameLauncher.jsp?game=1001541&amp;clienttype=html5&amp;mid=1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itemga.mga.games/GameLauncher/gameLauncher.jsp?game=1001545&amp;clienttype=html5&amp;mid=1" TargetMode="External"/><Relationship Id="rId3" Type="http://schemas.openxmlformats.org/officeDocument/2006/relationships/hyperlink" Target="https://sitemga.mga.games/GameLauncher/gameLauncher.jsp?game=1001535&amp;clienttype=html5&amp;mid=1" TargetMode="External"/><Relationship Id="rId7" Type="http://schemas.openxmlformats.org/officeDocument/2006/relationships/hyperlink" Target="https://sitemga.mga.games/GameLauncher/gameLauncher.jsp?game=1001542&amp;clienttype=html5&amp;mid=1" TargetMode="External"/><Relationship Id="rId2" Type="http://schemas.openxmlformats.org/officeDocument/2006/relationships/hyperlink" Target="https://sitemga.mga.games/GameLauncher/gameLauncher.jsp?game=1001501&amp;clienttype=html5&amp;mid=1" TargetMode="External"/><Relationship Id="rId1" Type="http://schemas.openxmlformats.org/officeDocument/2006/relationships/hyperlink" Target="https://sitemga.mga.games/GameLauncher/gameLauncher.jsp?game=1001501&amp;clienttype=html5&amp;mid=1" TargetMode="External"/><Relationship Id="rId6" Type="http://schemas.openxmlformats.org/officeDocument/2006/relationships/hyperlink" Target="https://sitemga.mga.games/GameLauncher/gameLauncher.jsp?game=1001542&amp;clienttype=html5&amp;mid=1" TargetMode="External"/><Relationship Id="rId11" Type="http://schemas.openxmlformats.org/officeDocument/2006/relationships/hyperlink" Target="https://sitemga.mga.games/GameLauncher/gameLauncher.jsp?game=1001550&amp;clienttype=html5&amp;mid=1" TargetMode="External"/><Relationship Id="rId5" Type="http://schemas.openxmlformats.org/officeDocument/2006/relationships/hyperlink" Target="https://sitemga.mga.games/GameLauncher/gameLauncher.jsp?game=1001539&amp;clienttype=html5&amp;mid=1" TargetMode="External"/><Relationship Id="rId10" Type="http://schemas.openxmlformats.org/officeDocument/2006/relationships/hyperlink" Target="https://sitemga.mga.games/GameLauncher/gameLauncher.jsp?game=1001550&amp;clienttype=html5&amp;mid=1" TargetMode="External"/><Relationship Id="rId4" Type="http://schemas.openxmlformats.org/officeDocument/2006/relationships/hyperlink" Target="https://sitemga.mga.games/GameLauncher/gameLauncher.jsp?game=1001539&amp;clienttype=html5&amp;mid=1" TargetMode="External"/><Relationship Id="rId9" Type="http://schemas.openxmlformats.org/officeDocument/2006/relationships/hyperlink" Target="https://sitemga.mga.games/GameLauncher/gameLauncher.jsp?game=1001545&amp;clienttype=html5&amp;mid=1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sitemga.mga.games/GameLauncher/gameLauncher.jsp?game=1001171&amp;clienttype=html5&amp;mid=2" TargetMode="External"/><Relationship Id="rId1" Type="http://schemas.openxmlformats.org/officeDocument/2006/relationships/hyperlink" Target="https://sitemga.mga.games/GameLauncher/gameLauncher.jsp?game=1001177&amp;clienttype=html5&amp;mid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34"/>
  <sheetViews>
    <sheetView workbookViewId="0">
      <pane xSplit="2" ySplit="1" topLeftCell="M129" activePane="bottomRight" state="frozen"/>
      <selection pane="bottomRight" sqref="A1:XFD1048576"/>
      <selection pane="bottomLeft"/>
      <selection pane="topRight"/>
    </sheetView>
  </sheetViews>
  <sheetFormatPr defaultColWidth="9.140625" defaultRowHeight="15"/>
  <cols>
    <col min="1" max="1" width="41.28515625" style="6" bestFit="1" customWidth="1"/>
    <col min="2" max="2" width="13.42578125" style="2" bestFit="1" customWidth="1"/>
    <col min="3" max="3" width="10.28515625" style="2" customWidth="1"/>
    <col min="4" max="4" width="13.5703125" style="81" customWidth="1"/>
    <col min="5" max="5" width="90.42578125" style="6" hidden="1" customWidth="1"/>
    <col min="6" max="6" width="26.85546875" style="2" customWidth="1"/>
    <col min="7" max="7" width="12" style="44" customWidth="1"/>
    <col min="8" max="8" width="9.140625" style="44" customWidth="1"/>
    <col min="9" max="9" width="12.5703125" style="36" customWidth="1"/>
    <col min="10" max="10" width="12.85546875" style="36" customWidth="1"/>
    <col min="11" max="11" width="15.140625" style="36" customWidth="1"/>
    <col min="12" max="12" width="29" style="234" customWidth="1"/>
    <col min="13" max="13" width="49.28515625" style="234" customWidth="1"/>
    <col min="14" max="14" width="18.42578125" style="234" customWidth="1"/>
    <col min="15" max="15" width="123.85546875" style="36" bestFit="1" customWidth="1"/>
    <col min="16" max="16" width="8.28515625" style="36" bestFit="1" customWidth="1"/>
    <col min="17" max="17" width="9.140625" style="36"/>
    <col min="18" max="18" width="13.7109375" style="36" customWidth="1"/>
    <col min="19" max="16384" width="9.140625" style="6"/>
  </cols>
  <sheetData>
    <row r="1" spans="1:30" s="2" customFormat="1" ht="32.25">
      <c r="A1" s="314" t="s">
        <v>0</v>
      </c>
      <c r="B1" s="117" t="s">
        <v>1</v>
      </c>
      <c r="C1" s="121" t="s">
        <v>2</v>
      </c>
      <c r="D1" s="163" t="s">
        <v>3</v>
      </c>
      <c r="E1" s="117" t="s">
        <v>4</v>
      </c>
      <c r="F1" s="67" t="s">
        <v>5</v>
      </c>
      <c r="G1" s="164" t="s">
        <v>6</v>
      </c>
      <c r="H1" s="164" t="s">
        <v>7</v>
      </c>
      <c r="I1" s="122" t="s">
        <v>8</v>
      </c>
      <c r="J1" s="122" t="s">
        <v>9</v>
      </c>
      <c r="K1" s="122" t="s">
        <v>10</v>
      </c>
      <c r="L1" s="227" t="s">
        <v>11</v>
      </c>
      <c r="M1" s="244" t="s">
        <v>12</v>
      </c>
      <c r="N1" s="227" t="s">
        <v>13</v>
      </c>
      <c r="O1" s="117" t="s">
        <v>14</v>
      </c>
      <c r="P1" s="117" t="s">
        <v>15</v>
      </c>
      <c r="Q1" s="67" t="s">
        <v>16</v>
      </c>
      <c r="R1" s="122" t="s">
        <v>17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76.5">
      <c r="A2" s="3" t="s">
        <v>18</v>
      </c>
      <c r="B2" s="160" t="s">
        <v>19</v>
      </c>
      <c r="C2" s="161" t="s">
        <v>20</v>
      </c>
      <c r="D2" s="82">
        <v>45075</v>
      </c>
      <c r="E2" s="318" t="s">
        <v>21</v>
      </c>
      <c r="F2" s="215" t="str">
        <f t="shared" ref="F2:F34" si="0">HYPERLINK(E2,A2)</f>
        <v>777 Caliente Megaways</v>
      </c>
      <c r="G2" s="37">
        <v>117649</v>
      </c>
      <c r="H2" s="37">
        <v>6</v>
      </c>
      <c r="I2" s="4">
        <v>0.2</v>
      </c>
      <c r="J2" s="4">
        <v>10</v>
      </c>
      <c r="K2" s="45">
        <v>0.2</v>
      </c>
      <c r="L2" s="228" t="s">
        <v>22</v>
      </c>
      <c r="M2" s="235" t="s">
        <v>23</v>
      </c>
      <c r="N2" s="240" t="s">
        <v>24</v>
      </c>
      <c r="O2" s="74" t="s">
        <v>25</v>
      </c>
      <c r="P2" s="49" t="s">
        <v>26</v>
      </c>
      <c r="Q2" s="57">
        <v>0.34279999999999999</v>
      </c>
      <c r="R2" s="62" t="s">
        <v>27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30.75">
      <c r="A3" s="7" t="s">
        <v>28</v>
      </c>
      <c r="B3" s="8" t="s">
        <v>19</v>
      </c>
      <c r="C3" s="68" t="s">
        <v>20</v>
      </c>
      <c r="D3" s="78">
        <v>45740</v>
      </c>
      <c r="E3" s="104" t="s">
        <v>29</v>
      </c>
      <c r="F3" s="208" t="str">
        <f t="shared" si="0"/>
        <v>Delicias Del Chef Megaways</v>
      </c>
      <c r="G3" s="38">
        <v>117649</v>
      </c>
      <c r="H3" s="38">
        <v>7</v>
      </c>
      <c r="I3" s="11">
        <v>0.2</v>
      </c>
      <c r="J3" s="11">
        <v>10</v>
      </c>
      <c r="K3" s="46">
        <v>0.2</v>
      </c>
      <c r="L3" s="229">
        <v>50000</v>
      </c>
      <c r="M3" s="52" t="s">
        <v>23</v>
      </c>
      <c r="N3" s="143" t="s">
        <v>30</v>
      </c>
      <c r="O3" s="50" t="s">
        <v>31</v>
      </c>
      <c r="P3" s="50" t="s">
        <v>26</v>
      </c>
      <c r="Q3" s="56">
        <v>0.21759999999999999</v>
      </c>
      <c r="R3" s="60" t="s">
        <v>32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30.75">
      <c r="A4" s="7" t="s">
        <v>33</v>
      </c>
      <c r="B4" s="8" t="s">
        <v>19</v>
      </c>
      <c r="C4" s="68" t="s">
        <v>20</v>
      </c>
      <c r="D4" s="78">
        <v>45901</v>
      </c>
      <c r="E4" s="104" t="s">
        <v>34</v>
      </c>
      <c r="F4" s="208" t="str">
        <f t="shared" si="0"/>
        <v>Dulce Fortuna Megaways</v>
      </c>
      <c r="G4" s="38">
        <v>117649</v>
      </c>
      <c r="H4" s="38">
        <v>6</v>
      </c>
      <c r="I4" s="11">
        <v>0.2</v>
      </c>
      <c r="J4" s="11">
        <v>10</v>
      </c>
      <c r="K4" s="46">
        <v>0.2</v>
      </c>
      <c r="L4" s="229">
        <v>50000</v>
      </c>
      <c r="M4" s="51" t="s">
        <v>23</v>
      </c>
      <c r="N4" s="143" t="s">
        <v>30</v>
      </c>
      <c r="O4" s="51" t="s">
        <v>35</v>
      </c>
      <c r="P4" s="51" t="s">
        <v>26</v>
      </c>
      <c r="Q4" s="56">
        <v>0.4405</v>
      </c>
      <c r="R4" s="60" t="s">
        <v>27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30.75">
      <c r="A5" s="7" t="s">
        <v>36</v>
      </c>
      <c r="B5" s="8" t="s">
        <v>19</v>
      </c>
      <c r="C5" s="68" t="s">
        <v>20</v>
      </c>
      <c r="D5" s="78">
        <v>45226</v>
      </c>
      <c r="E5" s="104" t="s">
        <v>37</v>
      </c>
      <c r="F5" s="208" t="str">
        <f t="shared" si="0"/>
        <v>Lejano Oeste Mania Megaways</v>
      </c>
      <c r="G5" s="38">
        <v>117649</v>
      </c>
      <c r="H5" s="38">
        <v>6</v>
      </c>
      <c r="I5" s="11">
        <v>0.2</v>
      </c>
      <c r="J5" s="11">
        <v>10</v>
      </c>
      <c r="K5" s="46">
        <v>0.2</v>
      </c>
      <c r="L5" s="229">
        <v>50000</v>
      </c>
      <c r="M5" s="52" t="s">
        <v>23</v>
      </c>
      <c r="N5" s="143" t="s">
        <v>30</v>
      </c>
      <c r="O5" s="50" t="s">
        <v>38</v>
      </c>
      <c r="P5" s="50" t="s">
        <v>26</v>
      </c>
      <c r="Q5" s="56">
        <v>0.4098</v>
      </c>
      <c r="R5" s="60" t="s">
        <v>39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30.75">
      <c r="A6" s="7" t="s">
        <v>40</v>
      </c>
      <c r="B6" s="8" t="s">
        <v>19</v>
      </c>
      <c r="C6" s="68" t="s">
        <v>20</v>
      </c>
      <c r="D6" s="78">
        <v>45441</v>
      </c>
      <c r="E6" s="104" t="s">
        <v>41</v>
      </c>
      <c r="F6" s="208" t="str">
        <f t="shared" si="0"/>
        <v>Llevate La Pasta Megaways</v>
      </c>
      <c r="G6" s="38">
        <v>117649</v>
      </c>
      <c r="H6" s="38">
        <v>6</v>
      </c>
      <c r="I6" s="11">
        <v>0.2</v>
      </c>
      <c r="J6" s="11">
        <v>10</v>
      </c>
      <c r="K6" s="46">
        <v>0.2</v>
      </c>
      <c r="L6" s="229">
        <v>50000</v>
      </c>
      <c r="M6" s="52" t="s">
        <v>23</v>
      </c>
      <c r="N6" s="143" t="s">
        <v>30</v>
      </c>
      <c r="O6" s="50" t="s">
        <v>42</v>
      </c>
      <c r="P6" s="50" t="s">
        <v>26</v>
      </c>
      <c r="Q6" s="56">
        <v>0.2336</v>
      </c>
      <c r="R6" s="60" t="s">
        <v>43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30.75">
      <c r="A7" s="7" t="s">
        <v>44</v>
      </c>
      <c r="B7" s="8" t="s">
        <v>19</v>
      </c>
      <c r="C7" s="68" t="s">
        <v>20</v>
      </c>
      <c r="D7" s="78">
        <v>45532</v>
      </c>
      <c r="E7" s="104" t="s">
        <v>45</v>
      </c>
      <c r="F7" s="208" t="str">
        <f t="shared" si="0"/>
        <v>Mar Dorado Megaways</v>
      </c>
      <c r="G7" s="38">
        <v>117649</v>
      </c>
      <c r="H7" s="38">
        <v>7</v>
      </c>
      <c r="I7" s="11">
        <v>0.2</v>
      </c>
      <c r="J7" s="11">
        <v>20</v>
      </c>
      <c r="K7" s="46">
        <v>1</v>
      </c>
      <c r="L7" s="229">
        <v>25000</v>
      </c>
      <c r="M7" s="52" t="s">
        <v>46</v>
      </c>
      <c r="N7" s="143" t="s">
        <v>47</v>
      </c>
      <c r="O7" s="50" t="s">
        <v>48</v>
      </c>
      <c r="P7" s="50" t="s">
        <v>26</v>
      </c>
      <c r="Q7" s="56">
        <v>0.34279999999999999</v>
      </c>
      <c r="R7" s="60" t="s">
        <v>43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s="36" customFormat="1">
      <c r="A8" s="319" t="s">
        <v>49</v>
      </c>
      <c r="B8" s="8" t="s">
        <v>19</v>
      </c>
      <c r="C8" s="68" t="s">
        <v>20</v>
      </c>
      <c r="D8" s="352">
        <v>46083</v>
      </c>
      <c r="E8" s="320" t="s">
        <v>50</v>
      </c>
      <c r="F8" s="348" t="s">
        <v>51</v>
      </c>
      <c r="G8" s="321">
        <v>117649</v>
      </c>
      <c r="H8" s="321">
        <v>6</v>
      </c>
      <c r="I8" s="321" t="s">
        <v>52</v>
      </c>
      <c r="J8" s="321" t="s">
        <v>53</v>
      </c>
      <c r="K8" s="321" t="s">
        <v>54</v>
      </c>
      <c r="L8" s="321" t="s">
        <v>55</v>
      </c>
      <c r="M8" s="321" t="s">
        <v>46</v>
      </c>
      <c r="N8" s="321" t="s">
        <v>56</v>
      </c>
      <c r="O8" s="321" t="s">
        <v>57</v>
      </c>
      <c r="P8" s="321" t="s">
        <v>26</v>
      </c>
      <c r="Q8" s="321" t="s">
        <v>58</v>
      </c>
      <c r="R8" s="321" t="s">
        <v>32</v>
      </c>
    </row>
    <row r="9" spans="1:30" ht="30.75">
      <c r="A9" s="7" t="s">
        <v>59</v>
      </c>
      <c r="B9" s="8" t="s">
        <v>19</v>
      </c>
      <c r="C9" s="68" t="s">
        <v>20</v>
      </c>
      <c r="D9" s="78">
        <v>45138</v>
      </c>
      <c r="E9" s="104" t="s">
        <v>60</v>
      </c>
      <c r="F9" s="208" t="str">
        <f t="shared" si="0"/>
        <v>Mina De Oro Mania Megaways</v>
      </c>
      <c r="G9" s="38">
        <v>117649</v>
      </c>
      <c r="H9" s="38">
        <v>6</v>
      </c>
      <c r="I9" s="11">
        <v>0.2</v>
      </c>
      <c r="J9" s="11">
        <v>10</v>
      </c>
      <c r="K9" s="46">
        <v>0.2</v>
      </c>
      <c r="L9" s="229">
        <v>21000</v>
      </c>
      <c r="M9" s="52" t="s">
        <v>23</v>
      </c>
      <c r="N9" s="143" t="s">
        <v>61</v>
      </c>
      <c r="O9" s="50" t="s">
        <v>62</v>
      </c>
      <c r="P9" s="50" t="s">
        <v>26</v>
      </c>
      <c r="Q9" s="56">
        <v>0.43290000000000001</v>
      </c>
      <c r="R9" s="60" t="s">
        <v>43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76.5">
      <c r="A10" s="7" t="s">
        <v>63</v>
      </c>
      <c r="B10" s="8" t="s">
        <v>19</v>
      </c>
      <c r="C10" s="68" t="s">
        <v>20</v>
      </c>
      <c r="D10" s="78">
        <v>44837</v>
      </c>
      <c r="E10" s="104" t="s">
        <v>64</v>
      </c>
      <c r="F10" s="208" t="str">
        <f t="shared" si="0"/>
        <v>Nacho Vidal</v>
      </c>
      <c r="G10" s="38">
        <v>117649</v>
      </c>
      <c r="H10" s="38">
        <v>6</v>
      </c>
      <c r="I10" s="11">
        <v>0.2</v>
      </c>
      <c r="J10" s="11">
        <v>10</v>
      </c>
      <c r="K10" s="46">
        <v>0.2</v>
      </c>
      <c r="L10" s="229" t="s">
        <v>65</v>
      </c>
      <c r="M10" s="52" t="s">
        <v>23</v>
      </c>
      <c r="N10" s="143" t="s">
        <v>66</v>
      </c>
      <c r="O10" s="50" t="s">
        <v>67</v>
      </c>
      <c r="P10" s="50" t="s">
        <v>26</v>
      </c>
      <c r="Q10" s="56">
        <v>0.3523</v>
      </c>
      <c r="R10" s="60" t="s">
        <v>43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60.75">
      <c r="A11" s="7" t="s">
        <v>68</v>
      </c>
      <c r="B11" s="8" t="s">
        <v>19</v>
      </c>
      <c r="C11" s="68" t="s">
        <v>20</v>
      </c>
      <c r="D11" s="78">
        <v>44774</v>
      </c>
      <c r="E11" s="104" t="s">
        <v>69</v>
      </c>
      <c r="F11" s="208" t="str">
        <f t="shared" si="0"/>
        <v>Poli Diaz Boxing Champion</v>
      </c>
      <c r="G11" s="38">
        <v>117649</v>
      </c>
      <c r="H11" s="38">
        <v>6</v>
      </c>
      <c r="I11" s="11">
        <v>0.2</v>
      </c>
      <c r="J11" s="11">
        <v>10</v>
      </c>
      <c r="K11" s="46">
        <v>0.2</v>
      </c>
      <c r="L11" s="229" t="s">
        <v>70</v>
      </c>
      <c r="M11" s="52" t="s">
        <v>23</v>
      </c>
      <c r="N11" s="143" t="s">
        <v>71</v>
      </c>
      <c r="O11" s="50" t="s">
        <v>72</v>
      </c>
      <c r="P11" s="50" t="s">
        <v>26</v>
      </c>
      <c r="Q11" s="56">
        <v>0.34279999999999999</v>
      </c>
      <c r="R11" s="60" t="s">
        <v>43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30.75">
      <c r="A12" s="108" t="s">
        <v>73</v>
      </c>
      <c r="B12" s="169" t="s">
        <v>19</v>
      </c>
      <c r="C12" s="170" t="s">
        <v>20</v>
      </c>
      <c r="D12" s="109">
        <v>45638</v>
      </c>
      <c r="E12" s="110" t="s">
        <v>74</v>
      </c>
      <c r="F12" s="220" t="str">
        <f t="shared" si="0"/>
        <v>Secretos De Persia Megaways</v>
      </c>
      <c r="G12" s="111">
        <v>117649</v>
      </c>
      <c r="H12" s="111">
        <v>7</v>
      </c>
      <c r="I12" s="112">
        <v>0.2</v>
      </c>
      <c r="J12" s="112">
        <v>10</v>
      </c>
      <c r="K12" s="113">
        <v>0.2</v>
      </c>
      <c r="L12" s="230">
        <v>21000</v>
      </c>
      <c r="M12" s="236" t="s">
        <v>23</v>
      </c>
      <c r="N12" s="241" t="s">
        <v>61</v>
      </c>
      <c r="O12" s="114" t="s">
        <v>75</v>
      </c>
      <c r="P12" s="114" t="s">
        <v>26</v>
      </c>
      <c r="Q12" s="115">
        <v>0.23169999999999999</v>
      </c>
      <c r="R12" s="116" t="s">
        <v>43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30.75">
      <c r="A13" s="3" t="s">
        <v>76</v>
      </c>
      <c r="B13" s="167" t="s">
        <v>77</v>
      </c>
      <c r="C13" s="107" t="s">
        <v>20</v>
      </c>
      <c r="D13" s="417">
        <v>43892</v>
      </c>
      <c r="E13" s="172" t="s">
        <v>78</v>
      </c>
      <c r="F13" s="215" t="str">
        <f t="shared" si="0"/>
        <v>Abigail Ratchfords Treasure Quest</v>
      </c>
      <c r="G13" s="37">
        <v>243</v>
      </c>
      <c r="H13" s="37">
        <v>5</v>
      </c>
      <c r="I13" s="4">
        <v>0.3</v>
      </c>
      <c r="J13" s="4">
        <v>6</v>
      </c>
      <c r="K13" s="4">
        <v>0.9</v>
      </c>
      <c r="L13" s="240">
        <v>38100</v>
      </c>
      <c r="M13" s="257" t="s">
        <v>79</v>
      </c>
      <c r="N13" s="240" t="s">
        <v>80</v>
      </c>
      <c r="O13" s="418" t="s">
        <v>81</v>
      </c>
      <c r="P13" s="418" t="s">
        <v>26</v>
      </c>
      <c r="Q13" s="57">
        <v>3.1699999999999999E-2</v>
      </c>
      <c r="R13" s="62" t="s">
        <v>27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>
      <c r="A14" s="7" t="s">
        <v>82</v>
      </c>
      <c r="B14" s="12" t="s">
        <v>77</v>
      </c>
      <c r="C14" s="9" t="s">
        <v>20</v>
      </c>
      <c r="D14" s="412">
        <v>45173</v>
      </c>
      <c r="E14" s="65" t="s">
        <v>83</v>
      </c>
      <c r="F14" s="208" t="str">
        <f>HYPERLINK(E14,A14)</f>
        <v>Aeropuerto</v>
      </c>
      <c r="G14" s="38">
        <v>9</v>
      </c>
      <c r="H14" s="38">
        <v>3</v>
      </c>
      <c r="I14" s="11">
        <v>0.2</v>
      </c>
      <c r="J14" s="11">
        <v>15</v>
      </c>
      <c r="K14" s="11">
        <v>0.2</v>
      </c>
      <c r="L14" s="143">
        <v>15000</v>
      </c>
      <c r="M14" s="211" t="s">
        <v>84</v>
      </c>
      <c r="N14" s="143" t="s">
        <v>85</v>
      </c>
      <c r="O14" s="93" t="s">
        <v>86</v>
      </c>
      <c r="P14" s="93" t="s">
        <v>26</v>
      </c>
      <c r="Q14" s="56">
        <v>0.3145</v>
      </c>
      <c r="R14" s="60" t="s">
        <v>43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>
      <c r="A15" s="7" t="s">
        <v>87</v>
      </c>
      <c r="B15" s="12" t="s">
        <v>77</v>
      </c>
      <c r="C15" s="9" t="s">
        <v>20</v>
      </c>
      <c r="D15" s="412">
        <v>44795</v>
      </c>
      <c r="E15" s="65" t="s">
        <v>88</v>
      </c>
      <c r="F15" s="208" t="str">
        <f>HYPERLINK(E15,A15)</f>
        <v>Ainhoa</v>
      </c>
      <c r="G15" s="38">
        <v>9</v>
      </c>
      <c r="H15" s="38">
        <v>3</v>
      </c>
      <c r="I15" s="11">
        <v>0.2</v>
      </c>
      <c r="J15" s="11">
        <v>15</v>
      </c>
      <c r="K15" s="11">
        <v>0.2</v>
      </c>
      <c r="L15" s="143">
        <v>15000</v>
      </c>
      <c r="M15" s="211" t="s">
        <v>84</v>
      </c>
      <c r="N15" s="143" t="s">
        <v>85</v>
      </c>
      <c r="O15" s="93" t="s">
        <v>86</v>
      </c>
      <c r="P15" s="93" t="s">
        <v>26</v>
      </c>
      <c r="Q15" s="56">
        <v>0.39889999999999998</v>
      </c>
      <c r="R15" s="60" t="s">
        <v>32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>
      <c r="A16" s="13" t="s">
        <v>89</v>
      </c>
      <c r="B16" s="12" t="s">
        <v>77</v>
      </c>
      <c r="C16" s="9" t="s">
        <v>20</v>
      </c>
      <c r="D16" s="412">
        <v>44177</v>
      </c>
      <c r="E16" s="65" t="s">
        <v>90</v>
      </c>
      <c r="F16" s="208" t="str">
        <f>HYPERLINK(E16,A16)</f>
        <v>Andy Y Lucas</v>
      </c>
      <c r="G16" s="38">
        <v>9</v>
      </c>
      <c r="H16" s="38">
        <v>3</v>
      </c>
      <c r="I16" s="11">
        <v>0.2</v>
      </c>
      <c r="J16" s="11">
        <v>15</v>
      </c>
      <c r="K16" s="11">
        <v>0.2</v>
      </c>
      <c r="L16" s="143">
        <v>15000</v>
      </c>
      <c r="M16" s="211" t="s">
        <v>84</v>
      </c>
      <c r="N16" s="143" t="s">
        <v>85</v>
      </c>
      <c r="O16" s="93" t="s">
        <v>86</v>
      </c>
      <c r="P16" s="93" t="s">
        <v>26</v>
      </c>
      <c r="Q16" s="29">
        <v>0.3448</v>
      </c>
      <c r="R16" s="61" t="s">
        <v>43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>
      <c r="A17" s="7" t="s">
        <v>91</v>
      </c>
      <c r="B17" s="12" t="s">
        <v>77</v>
      </c>
      <c r="C17" s="9" t="s">
        <v>20</v>
      </c>
      <c r="D17" s="412">
        <v>43813</v>
      </c>
      <c r="E17" s="65" t="s">
        <v>92</v>
      </c>
      <c r="F17" s="208" t="str">
        <f>HYPERLINK(E17,A17)</f>
        <v>Aramis Fuster La Bruja</v>
      </c>
      <c r="G17" s="38">
        <v>9</v>
      </c>
      <c r="H17" s="38">
        <v>3</v>
      </c>
      <c r="I17" s="11">
        <v>0.2</v>
      </c>
      <c r="J17" s="11">
        <v>10</v>
      </c>
      <c r="K17" s="11">
        <v>0.2</v>
      </c>
      <c r="L17" s="143">
        <v>10000</v>
      </c>
      <c r="M17" s="211" t="s">
        <v>93</v>
      </c>
      <c r="N17" s="143" t="s">
        <v>85</v>
      </c>
      <c r="O17" s="93" t="s">
        <v>86</v>
      </c>
      <c r="P17" s="93" t="s">
        <v>26</v>
      </c>
      <c r="Q17" s="56">
        <v>0.30299999999999999</v>
      </c>
      <c r="R17" s="60" t="s">
        <v>43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>
      <c r="A18" s="7" t="s">
        <v>94</v>
      </c>
      <c r="B18" s="12" t="s">
        <v>77</v>
      </c>
      <c r="C18" s="9" t="s">
        <v>20</v>
      </c>
      <c r="D18" s="412">
        <v>44004</v>
      </c>
      <c r="E18" s="65" t="s">
        <v>95</v>
      </c>
      <c r="F18" s="208" t="str">
        <f>HYPERLINK(E18,A18)</f>
        <v>Arévalo</v>
      </c>
      <c r="G18" s="38">
        <v>9</v>
      </c>
      <c r="H18" s="38">
        <v>3</v>
      </c>
      <c r="I18" s="11">
        <v>0.2</v>
      </c>
      <c r="J18" s="11">
        <v>10</v>
      </c>
      <c r="K18" s="11">
        <v>0.2</v>
      </c>
      <c r="L18" s="143">
        <v>10000</v>
      </c>
      <c r="M18" s="211" t="s">
        <v>96</v>
      </c>
      <c r="N18" s="143" t="s">
        <v>85</v>
      </c>
      <c r="O18" s="93" t="s">
        <v>86</v>
      </c>
      <c r="P18" s="93" t="s">
        <v>26</v>
      </c>
      <c r="Q18" s="56">
        <v>0.29849999999999999</v>
      </c>
      <c r="R18" s="60" t="s">
        <v>43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>
      <c r="A19" s="7" t="s">
        <v>97</v>
      </c>
      <c r="B19" s="12" t="s">
        <v>77</v>
      </c>
      <c r="C19" s="14" t="s">
        <v>98</v>
      </c>
      <c r="D19" s="412">
        <v>43101</v>
      </c>
      <c r="E19" s="65" t="s">
        <v>99</v>
      </c>
      <c r="F19" s="208" t="str">
        <f>HYPERLINK(E19,A19)</f>
        <v>Asalto Al Banco</v>
      </c>
      <c r="G19" s="38">
        <v>9</v>
      </c>
      <c r="H19" s="38">
        <v>3</v>
      </c>
      <c r="I19" s="11">
        <v>0.2</v>
      </c>
      <c r="J19" s="11">
        <v>10</v>
      </c>
      <c r="K19" s="11">
        <v>1</v>
      </c>
      <c r="L19" s="143">
        <v>10000</v>
      </c>
      <c r="M19" s="211" t="s">
        <v>96</v>
      </c>
      <c r="N19" s="143" t="s">
        <v>85</v>
      </c>
      <c r="O19" s="93" t="s">
        <v>86</v>
      </c>
      <c r="P19" s="93" t="s">
        <v>26</v>
      </c>
      <c r="Q19" s="56">
        <v>0.37169999999999997</v>
      </c>
      <c r="R19" s="60" t="s">
        <v>43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30.75">
      <c r="A20" s="7" t="s">
        <v>100</v>
      </c>
      <c r="B20" s="12" t="s">
        <v>77</v>
      </c>
      <c r="C20" s="9" t="s">
        <v>20</v>
      </c>
      <c r="D20" s="412">
        <v>45040</v>
      </c>
      <c r="E20" s="65" t="s">
        <v>101</v>
      </c>
      <c r="F20" s="208" t="str">
        <f>HYPERLINK(E20,A20)</f>
        <v>Aurah Ruiz Diosa De Jade</v>
      </c>
      <c r="G20" s="38">
        <v>25</v>
      </c>
      <c r="H20" s="38">
        <v>5</v>
      </c>
      <c r="I20" s="11">
        <v>0.25</v>
      </c>
      <c r="J20" s="11">
        <v>25</v>
      </c>
      <c r="K20" s="11">
        <v>2.5</v>
      </c>
      <c r="L20" s="143">
        <v>26000</v>
      </c>
      <c r="M20" s="211" t="s">
        <v>102</v>
      </c>
      <c r="N20" s="143" t="s">
        <v>103</v>
      </c>
      <c r="O20" s="93" t="s">
        <v>104</v>
      </c>
      <c r="P20" s="93" t="s">
        <v>26</v>
      </c>
      <c r="Q20" s="56">
        <v>0.44840000000000002</v>
      </c>
      <c r="R20" s="60" t="s">
        <v>27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>
      <c r="A21" s="7" t="s">
        <v>105</v>
      </c>
      <c r="B21" s="12" t="s">
        <v>77</v>
      </c>
      <c r="C21" s="14" t="s">
        <v>98</v>
      </c>
      <c r="D21" s="412">
        <v>45624</v>
      </c>
      <c r="E21" s="65" t="s">
        <v>106</v>
      </c>
      <c r="F21" s="208" t="str">
        <f>HYPERLINK(E21,A21)</f>
        <v>Avalancha Salvaje</v>
      </c>
      <c r="G21" s="38">
        <v>10</v>
      </c>
      <c r="H21" s="38">
        <v>5</v>
      </c>
      <c r="I21" s="11">
        <v>0.1</v>
      </c>
      <c r="J21" s="11">
        <v>20</v>
      </c>
      <c r="K21" s="11">
        <v>1</v>
      </c>
      <c r="L21" s="143">
        <v>42000</v>
      </c>
      <c r="M21" s="211" t="s">
        <v>107</v>
      </c>
      <c r="N21" s="143" t="s">
        <v>61</v>
      </c>
      <c r="O21" s="93" t="s">
        <v>108</v>
      </c>
      <c r="P21" s="93" t="s">
        <v>26</v>
      </c>
      <c r="Q21" s="56">
        <v>8.72E-2</v>
      </c>
      <c r="R21" s="60" t="s">
        <v>43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60.75">
      <c r="A22" s="7" t="s">
        <v>109</v>
      </c>
      <c r="B22" s="12" t="s">
        <v>77</v>
      </c>
      <c r="C22" s="9" t="s">
        <v>20</v>
      </c>
      <c r="D22" s="412">
        <v>45187</v>
      </c>
      <c r="E22" s="65" t="s">
        <v>110</v>
      </c>
      <c r="F22" s="208" t="str">
        <f>HYPERLINK(E22,A22)</f>
        <v>Aventuras Piratas</v>
      </c>
      <c r="G22" s="38">
        <v>20</v>
      </c>
      <c r="H22" s="38">
        <v>5</v>
      </c>
      <c r="I22" s="11">
        <v>0.2</v>
      </c>
      <c r="J22" s="11">
        <v>75</v>
      </c>
      <c r="K22" s="11">
        <v>1</v>
      </c>
      <c r="L22" s="143" t="s">
        <v>111</v>
      </c>
      <c r="M22" s="211" t="s">
        <v>112</v>
      </c>
      <c r="N22" s="143" t="s">
        <v>113</v>
      </c>
      <c r="O22" s="93" t="s">
        <v>114</v>
      </c>
      <c r="P22" s="93" t="s">
        <v>26</v>
      </c>
      <c r="Q22" s="56">
        <v>0.35089999999999999</v>
      </c>
      <c r="R22" s="60" t="s">
        <v>32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137.25">
      <c r="A23" s="7" t="s">
        <v>115</v>
      </c>
      <c r="B23" s="12" t="s">
        <v>77</v>
      </c>
      <c r="C23" s="9" t="s">
        <v>20</v>
      </c>
      <c r="D23" s="412">
        <v>44501</v>
      </c>
      <c r="E23" s="65" t="s">
        <v>116</v>
      </c>
      <c r="F23" s="208" t="str">
        <f>HYPERLINK(E23,A23)</f>
        <v>B Jones In Session</v>
      </c>
      <c r="G23" s="39">
        <v>243</v>
      </c>
      <c r="H23" s="39">
        <v>5</v>
      </c>
      <c r="I23" s="11">
        <v>0.25</v>
      </c>
      <c r="J23" s="15">
        <v>25</v>
      </c>
      <c r="K23" s="15">
        <v>2.5</v>
      </c>
      <c r="L23" s="259" t="s">
        <v>117</v>
      </c>
      <c r="M23" s="211" t="s">
        <v>102</v>
      </c>
      <c r="N23" s="143" t="s">
        <v>118</v>
      </c>
      <c r="O23" s="93" t="s">
        <v>119</v>
      </c>
      <c r="P23" s="93" t="s">
        <v>26</v>
      </c>
      <c r="Q23" s="29">
        <v>0.30209999999999998</v>
      </c>
      <c r="R23" s="61" t="s">
        <v>43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>
      <c r="A24" s="7" t="s">
        <v>120</v>
      </c>
      <c r="B24" s="12" t="s">
        <v>77</v>
      </c>
      <c r="C24" s="9" t="s">
        <v>20</v>
      </c>
      <c r="D24" s="412">
        <v>45638</v>
      </c>
      <c r="E24" s="65" t="s">
        <v>121</v>
      </c>
      <c r="F24" s="208" t="str">
        <f>HYPERLINK(E24,A24)</f>
        <v>Barragan En Laponia</v>
      </c>
      <c r="G24" s="38">
        <v>9</v>
      </c>
      <c r="H24" s="38">
        <v>3</v>
      </c>
      <c r="I24" s="11">
        <v>0.2</v>
      </c>
      <c r="J24" s="11">
        <v>15</v>
      </c>
      <c r="K24" s="11">
        <v>0.2</v>
      </c>
      <c r="L24" s="143">
        <v>15000</v>
      </c>
      <c r="M24" s="211" t="s">
        <v>84</v>
      </c>
      <c r="N24" s="143" t="s">
        <v>85</v>
      </c>
      <c r="O24" s="93" t="s">
        <v>86</v>
      </c>
      <c r="P24" s="93" t="s">
        <v>26</v>
      </c>
      <c r="Q24" s="56">
        <v>0.42899999999999999</v>
      </c>
      <c r="R24" s="60" t="s">
        <v>27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>
      <c r="A25" s="7" t="s">
        <v>122</v>
      </c>
      <c r="B25" s="12" t="s">
        <v>77</v>
      </c>
      <c r="C25" s="9" t="s">
        <v>20</v>
      </c>
      <c r="D25" s="412">
        <v>43497</v>
      </c>
      <c r="E25" s="65" t="s">
        <v>123</v>
      </c>
      <c r="F25" s="208" t="str">
        <f>HYPERLINK(E25,A25)</f>
        <v>Barragan Y Las Joyas De La Cacharreria</v>
      </c>
      <c r="G25" s="38">
        <v>9</v>
      </c>
      <c r="H25" s="38">
        <v>3</v>
      </c>
      <c r="I25" s="11">
        <v>0.2</v>
      </c>
      <c r="J25" s="11">
        <v>15</v>
      </c>
      <c r="K25" s="11">
        <v>1</v>
      </c>
      <c r="L25" s="143">
        <v>15000</v>
      </c>
      <c r="M25" s="211" t="s">
        <v>84</v>
      </c>
      <c r="N25" s="143" t="s">
        <v>85</v>
      </c>
      <c r="O25" s="93" t="s">
        <v>86</v>
      </c>
      <c r="P25" s="93" t="s">
        <v>26</v>
      </c>
      <c r="Q25" s="56">
        <v>0.2959</v>
      </c>
      <c r="R25" s="60" t="s">
        <v>43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30.75">
      <c r="A26" s="7" t="s">
        <v>124</v>
      </c>
      <c r="B26" s="12" t="s">
        <v>77</v>
      </c>
      <c r="C26" s="9" t="s">
        <v>20</v>
      </c>
      <c r="D26" s="412">
        <v>43497</v>
      </c>
      <c r="E26" s="65" t="s">
        <v>125</v>
      </c>
      <c r="F26" s="208" t="str">
        <f>HYPERLINK(E26,A26)</f>
        <v>Barragan Y Los Tesoros Perdidos Del Parque</v>
      </c>
      <c r="G26" s="38">
        <v>20</v>
      </c>
      <c r="H26" s="38">
        <v>5</v>
      </c>
      <c r="I26" s="11">
        <v>0.2</v>
      </c>
      <c r="J26" s="11">
        <v>25</v>
      </c>
      <c r="K26" s="11">
        <v>1</v>
      </c>
      <c r="L26" s="143">
        <v>18750</v>
      </c>
      <c r="M26" s="211" t="s">
        <v>126</v>
      </c>
      <c r="N26" s="143" t="s">
        <v>127</v>
      </c>
      <c r="O26" s="93" t="s">
        <v>128</v>
      </c>
      <c r="P26" s="93" t="s">
        <v>26</v>
      </c>
      <c r="Q26" s="56">
        <v>0.41670000000000001</v>
      </c>
      <c r="R26" s="60" t="s">
        <v>43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>
      <c r="A27" s="7" t="s">
        <v>129</v>
      </c>
      <c r="B27" s="12" t="s">
        <v>77</v>
      </c>
      <c r="C27" s="14" t="s">
        <v>98</v>
      </c>
      <c r="D27" s="412">
        <v>43101</v>
      </c>
      <c r="E27" s="65" t="s">
        <v>130</v>
      </c>
      <c r="F27" s="208" t="str">
        <f>HYPERLINK(E27,A27)</f>
        <v>Beach</v>
      </c>
      <c r="G27" s="38">
        <v>9</v>
      </c>
      <c r="H27" s="38">
        <v>3</v>
      </c>
      <c r="I27" s="11">
        <v>0.2</v>
      </c>
      <c r="J27" s="11">
        <v>2</v>
      </c>
      <c r="K27" s="11">
        <v>1</v>
      </c>
      <c r="L27" s="143">
        <v>2000</v>
      </c>
      <c r="M27" s="421" t="s">
        <v>131</v>
      </c>
      <c r="N27" s="143" t="s">
        <v>85</v>
      </c>
      <c r="O27" s="422">
        <v>0.9</v>
      </c>
      <c r="P27" s="422" t="s">
        <v>26</v>
      </c>
      <c r="Q27" s="56">
        <v>0.29070000000000001</v>
      </c>
      <c r="R27" s="60" t="s">
        <v>43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>
      <c r="A28" s="325" t="s">
        <v>132</v>
      </c>
      <c r="B28" s="326" t="s">
        <v>77</v>
      </c>
      <c r="C28" s="9" t="s">
        <v>20</v>
      </c>
      <c r="D28" s="362">
        <v>46111</v>
      </c>
      <c r="E28" s="363" t="s">
        <v>133</v>
      </c>
      <c r="F28" s="349" t="s">
        <v>134</v>
      </c>
      <c r="G28" s="334">
        <v>9</v>
      </c>
      <c r="H28" s="334">
        <v>3</v>
      </c>
      <c r="I28" s="334" t="s">
        <v>52</v>
      </c>
      <c r="J28" s="334" t="s">
        <v>135</v>
      </c>
      <c r="K28" s="334" t="s">
        <v>52</v>
      </c>
      <c r="L28" s="334" t="s">
        <v>136</v>
      </c>
      <c r="M28" s="334" t="s">
        <v>137</v>
      </c>
      <c r="N28" s="334" t="s">
        <v>138</v>
      </c>
      <c r="O28" s="334" t="s">
        <v>139</v>
      </c>
      <c r="P28" s="334" t="s">
        <v>26</v>
      </c>
      <c r="Q28" s="334" t="s">
        <v>140</v>
      </c>
      <c r="R28" s="339" t="s">
        <v>27</v>
      </c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>
      <c r="A29" s="7" t="s">
        <v>141</v>
      </c>
      <c r="B29" s="12" t="s">
        <v>77</v>
      </c>
      <c r="C29" s="14" t="s">
        <v>98</v>
      </c>
      <c r="D29" s="412">
        <v>43101</v>
      </c>
      <c r="E29" s="65" t="s">
        <v>142</v>
      </c>
      <c r="F29" s="208" t="str">
        <f>HYPERLINK(E29,A29)</f>
        <v>Bucaneros</v>
      </c>
      <c r="G29" s="38">
        <v>9</v>
      </c>
      <c r="H29" s="38">
        <v>3</v>
      </c>
      <c r="I29" s="11">
        <v>0.2</v>
      </c>
      <c r="J29" s="11">
        <v>1</v>
      </c>
      <c r="K29" s="11">
        <v>1</v>
      </c>
      <c r="L29" s="143">
        <v>500</v>
      </c>
      <c r="M29" s="421" t="s">
        <v>143</v>
      </c>
      <c r="N29" s="143" t="s">
        <v>144</v>
      </c>
      <c r="O29" s="422">
        <v>0.9</v>
      </c>
      <c r="P29" s="422" t="s">
        <v>26</v>
      </c>
      <c r="Q29" s="56">
        <v>0.18179999999999999</v>
      </c>
      <c r="R29" s="60" t="s">
        <v>43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30.75">
      <c r="A30" s="7" t="s">
        <v>145</v>
      </c>
      <c r="B30" s="12" t="s">
        <v>77</v>
      </c>
      <c r="C30" s="14" t="s">
        <v>98</v>
      </c>
      <c r="D30" s="412">
        <v>43101</v>
      </c>
      <c r="E30" s="65" t="s">
        <v>146</v>
      </c>
      <c r="F30" s="208" t="str">
        <f>HYPERLINK(E30,A30)</f>
        <v>Cabaret</v>
      </c>
      <c r="G30" s="38">
        <v>243</v>
      </c>
      <c r="H30" s="38">
        <v>5</v>
      </c>
      <c r="I30" s="11">
        <v>0.25</v>
      </c>
      <c r="J30" s="11">
        <v>25</v>
      </c>
      <c r="K30" s="11">
        <v>2.5</v>
      </c>
      <c r="L30" s="143">
        <v>27000</v>
      </c>
      <c r="M30" s="211" t="s">
        <v>102</v>
      </c>
      <c r="N30" s="143" t="s">
        <v>147</v>
      </c>
      <c r="O30" s="93" t="s">
        <v>148</v>
      </c>
      <c r="P30" s="93" t="s">
        <v>26</v>
      </c>
      <c r="Q30" s="56">
        <v>0.27779999999999999</v>
      </c>
      <c r="R30" s="60" t="s">
        <v>27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>
      <c r="A31" s="7" t="s">
        <v>149</v>
      </c>
      <c r="B31" s="12" t="s">
        <v>77</v>
      </c>
      <c r="C31" s="9" t="s">
        <v>20</v>
      </c>
      <c r="D31" s="412">
        <v>44956</v>
      </c>
      <c r="E31" s="65" t="s">
        <v>150</v>
      </c>
      <c r="F31" s="208" t="str">
        <f>HYPERLINK(E31,A31)</f>
        <v>Canales Rivera La Feria De Abril</v>
      </c>
      <c r="G31" s="38">
        <v>9</v>
      </c>
      <c r="H31" s="38">
        <v>3</v>
      </c>
      <c r="I31" s="11">
        <v>0.2</v>
      </c>
      <c r="J31" s="11">
        <v>15</v>
      </c>
      <c r="K31" s="11">
        <v>0.2</v>
      </c>
      <c r="L31" s="143">
        <v>15000</v>
      </c>
      <c r="M31" s="211" t="s">
        <v>84</v>
      </c>
      <c r="N31" s="143" t="s">
        <v>85</v>
      </c>
      <c r="O31" s="93" t="s">
        <v>86</v>
      </c>
      <c r="P31" s="93" t="s">
        <v>26</v>
      </c>
      <c r="Q31" s="56">
        <v>0.42030000000000001</v>
      </c>
      <c r="R31" s="60" t="s">
        <v>32</v>
      </c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</row>
    <row r="32" spans="1:30">
      <c r="A32" s="7" t="s">
        <v>151</v>
      </c>
      <c r="B32" s="12" t="s">
        <v>77</v>
      </c>
      <c r="C32" s="9" t="s">
        <v>20</v>
      </c>
      <c r="D32" s="412">
        <v>45012</v>
      </c>
      <c r="E32" s="65" t="s">
        <v>152</v>
      </c>
      <c r="F32" s="208" t="str">
        <f>HYPERLINK(E32,A32)</f>
        <v>Cañita Brava</v>
      </c>
      <c r="G32" s="38">
        <v>9</v>
      </c>
      <c r="H32" s="38">
        <v>3</v>
      </c>
      <c r="I32" s="11">
        <v>0.2</v>
      </c>
      <c r="J32" s="11">
        <v>15</v>
      </c>
      <c r="K32" s="11">
        <v>0.2</v>
      </c>
      <c r="L32" s="143">
        <v>15000</v>
      </c>
      <c r="M32" s="211" t="s">
        <v>84</v>
      </c>
      <c r="N32" s="143" t="s">
        <v>85</v>
      </c>
      <c r="O32" s="93" t="s">
        <v>86</v>
      </c>
      <c r="P32" s="93" t="s">
        <v>26</v>
      </c>
      <c r="Q32" s="56">
        <v>0.38219999999999998</v>
      </c>
      <c r="R32" s="60" t="s">
        <v>32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>
      <c r="A33" s="7" t="s">
        <v>153</v>
      </c>
      <c r="B33" s="12" t="s">
        <v>77</v>
      </c>
      <c r="C33" s="9" t="s">
        <v>20</v>
      </c>
      <c r="D33" s="412">
        <v>45712</v>
      </c>
      <c r="E33" s="65" t="s">
        <v>154</v>
      </c>
      <c r="F33" s="208" t="str">
        <f>HYPERLINK(E33,A33)</f>
        <v>Cañita Brava En Las Fallas</v>
      </c>
      <c r="G33" s="38">
        <v>9</v>
      </c>
      <c r="H33" s="38">
        <v>3</v>
      </c>
      <c r="I33" s="11">
        <v>0.2</v>
      </c>
      <c r="J33" s="11">
        <v>15</v>
      </c>
      <c r="K33" s="11">
        <v>0.2</v>
      </c>
      <c r="L33" s="143">
        <v>15000</v>
      </c>
      <c r="M33" s="211" t="s">
        <v>84</v>
      </c>
      <c r="N33" s="143" t="s">
        <v>85</v>
      </c>
      <c r="O33" s="93" t="s">
        <v>86</v>
      </c>
      <c r="P33" s="93" t="s">
        <v>26</v>
      </c>
      <c r="Q33" s="56">
        <v>4.4400000000000002E-2</v>
      </c>
      <c r="R33" s="60" t="s">
        <v>27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30.75">
      <c r="A34" s="7" t="s">
        <v>155</v>
      </c>
      <c r="B34" s="12" t="s">
        <v>77</v>
      </c>
      <c r="C34" s="14" t="s">
        <v>98</v>
      </c>
      <c r="D34" s="412">
        <v>45691</v>
      </c>
      <c r="E34" s="65" t="s">
        <v>156</v>
      </c>
      <c r="F34" s="208" t="str">
        <f>HYPERLINK(E34,A34)</f>
        <v>Carnaval De Leyendas Míticas</v>
      </c>
      <c r="G34" s="38">
        <v>25</v>
      </c>
      <c r="H34" s="38">
        <v>5</v>
      </c>
      <c r="I34" s="11">
        <v>0.25</v>
      </c>
      <c r="J34" s="11">
        <v>25</v>
      </c>
      <c r="K34" s="11">
        <v>2.5</v>
      </c>
      <c r="L34" s="143">
        <v>52500</v>
      </c>
      <c r="M34" s="211" t="s">
        <v>102</v>
      </c>
      <c r="N34" s="143" t="s">
        <v>61</v>
      </c>
      <c r="O34" s="93" t="s">
        <v>157</v>
      </c>
      <c r="P34" s="93" t="s">
        <v>26</v>
      </c>
      <c r="Q34" s="56">
        <v>2.4500000000000001E-2</v>
      </c>
      <c r="R34" s="60" t="s">
        <v>43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30.75">
      <c r="A35" s="7" t="s">
        <v>158</v>
      </c>
      <c r="B35" s="12" t="s">
        <v>77</v>
      </c>
      <c r="C35" s="14" t="s">
        <v>98</v>
      </c>
      <c r="D35" s="412">
        <v>43101</v>
      </c>
      <c r="E35" s="65" t="s">
        <v>159</v>
      </c>
      <c r="F35" s="208" t="str">
        <f>HYPERLINK(E35,A35)</f>
        <v>Castle Slots</v>
      </c>
      <c r="G35" s="38">
        <v>10</v>
      </c>
      <c r="H35" s="38">
        <v>5</v>
      </c>
      <c r="I35" s="11">
        <v>0.1</v>
      </c>
      <c r="J35" s="11">
        <v>50</v>
      </c>
      <c r="K35" s="11">
        <v>1</v>
      </c>
      <c r="L35" s="143">
        <v>35900</v>
      </c>
      <c r="M35" s="211" t="s">
        <v>160</v>
      </c>
      <c r="N35" s="143" t="s">
        <v>161</v>
      </c>
      <c r="O35" s="93" t="s">
        <v>162</v>
      </c>
      <c r="P35" s="93" t="s">
        <v>26</v>
      </c>
      <c r="Q35" s="56">
        <v>0.35589999999999999</v>
      </c>
      <c r="R35" s="60" t="s">
        <v>43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>
      <c r="A36" s="7" t="s">
        <v>163</v>
      </c>
      <c r="B36" s="12" t="s">
        <v>77</v>
      </c>
      <c r="C36" s="14" t="s">
        <v>98</v>
      </c>
      <c r="D36" s="412">
        <v>43101</v>
      </c>
      <c r="E36" s="65" t="s">
        <v>164</v>
      </c>
      <c r="F36" s="208" t="str">
        <f>HYPERLINK(E36,A36)</f>
        <v>Celtic</v>
      </c>
      <c r="G36" s="38">
        <v>9</v>
      </c>
      <c r="H36" s="38">
        <v>3</v>
      </c>
      <c r="I36" s="11">
        <v>0.2</v>
      </c>
      <c r="J36" s="11">
        <v>1</v>
      </c>
      <c r="K36" s="11">
        <v>1</v>
      </c>
      <c r="L36" s="143">
        <v>500</v>
      </c>
      <c r="M36" s="421" t="s">
        <v>143</v>
      </c>
      <c r="N36" s="143" t="s">
        <v>144</v>
      </c>
      <c r="O36" s="422">
        <v>0.9</v>
      </c>
      <c r="P36" s="422" t="s">
        <v>26</v>
      </c>
      <c r="Q36" s="56">
        <v>0.18179999999999999</v>
      </c>
      <c r="R36" s="60" t="s">
        <v>43</v>
      </c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</row>
    <row r="37" spans="1:30">
      <c r="A37" s="7" t="s">
        <v>165</v>
      </c>
      <c r="B37" s="12" t="s">
        <v>77</v>
      </c>
      <c r="C37" s="9" t="s">
        <v>20</v>
      </c>
      <c r="D37" s="412">
        <v>45236</v>
      </c>
      <c r="E37" s="65" t="s">
        <v>166</v>
      </c>
      <c r="F37" s="208" t="str">
        <f>HYPERLINK(E37,A37)</f>
        <v>Chicago</v>
      </c>
      <c r="G37" s="38">
        <v>9</v>
      </c>
      <c r="H37" s="38">
        <v>3</v>
      </c>
      <c r="I37" s="11">
        <v>0.2</v>
      </c>
      <c r="J37" s="11">
        <v>15</v>
      </c>
      <c r="K37" s="11">
        <v>0.2</v>
      </c>
      <c r="L37" s="143">
        <v>15000</v>
      </c>
      <c r="M37" s="211" t="s">
        <v>84</v>
      </c>
      <c r="N37" s="143" t="s">
        <v>85</v>
      </c>
      <c r="O37" s="93" t="s">
        <v>86</v>
      </c>
      <c r="P37" s="93" t="s">
        <v>26</v>
      </c>
      <c r="Q37" s="56">
        <v>0.42159999999999997</v>
      </c>
      <c r="R37" s="60" t="s">
        <v>27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>
      <c r="A38" s="7" t="s">
        <v>167</v>
      </c>
      <c r="B38" s="12" t="s">
        <v>77</v>
      </c>
      <c r="C38" s="9" t="s">
        <v>20</v>
      </c>
      <c r="D38" s="412">
        <v>43497</v>
      </c>
      <c r="E38" s="65" t="s">
        <v>168</v>
      </c>
      <c r="F38" s="208" t="str">
        <f>HYPERLINK(E38,A38)</f>
        <v>Chiquito</v>
      </c>
      <c r="G38" s="38">
        <v>9</v>
      </c>
      <c r="H38" s="38">
        <v>3</v>
      </c>
      <c r="I38" s="11">
        <v>1</v>
      </c>
      <c r="J38" s="11">
        <v>15</v>
      </c>
      <c r="K38" s="11">
        <v>1</v>
      </c>
      <c r="L38" s="143">
        <v>15000</v>
      </c>
      <c r="M38" s="211" t="s">
        <v>169</v>
      </c>
      <c r="N38" s="143" t="s">
        <v>85</v>
      </c>
      <c r="O38" s="93" t="s">
        <v>170</v>
      </c>
      <c r="P38" s="93" t="s">
        <v>26</v>
      </c>
      <c r="Q38" s="56">
        <v>0.3155</v>
      </c>
      <c r="R38" s="60" t="s">
        <v>43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>
      <c r="A39" s="7" t="s">
        <v>171</v>
      </c>
      <c r="B39" s="12" t="s">
        <v>77</v>
      </c>
      <c r="C39" s="9" t="s">
        <v>20</v>
      </c>
      <c r="D39" s="412">
        <v>44466</v>
      </c>
      <c r="E39" s="65" t="s">
        <v>172</v>
      </c>
      <c r="F39" s="208" t="str">
        <f>HYPERLINK(E39,A39)</f>
        <v>Chiquito 2: Condemor Al Rescate</v>
      </c>
      <c r="G39" s="38">
        <v>9</v>
      </c>
      <c r="H39" s="38">
        <v>3</v>
      </c>
      <c r="I39" s="11">
        <v>0.2</v>
      </c>
      <c r="J39" s="11">
        <v>15</v>
      </c>
      <c r="K39" s="11">
        <v>0.2</v>
      </c>
      <c r="L39" s="143">
        <v>15000</v>
      </c>
      <c r="M39" s="211" t="s">
        <v>84</v>
      </c>
      <c r="N39" s="143" t="s">
        <v>85</v>
      </c>
      <c r="O39" s="93" t="s">
        <v>86</v>
      </c>
      <c r="P39" s="93" t="s">
        <v>26</v>
      </c>
      <c r="Q39" s="56">
        <v>0.31380000000000002</v>
      </c>
      <c r="R39" s="60" t="s">
        <v>43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>
      <c r="A40" s="7" t="s">
        <v>173</v>
      </c>
      <c r="B40" s="12" t="s">
        <v>77</v>
      </c>
      <c r="C40" s="9" t="s">
        <v>20</v>
      </c>
      <c r="D40" s="412">
        <v>45502</v>
      </c>
      <c r="E40" s="65" t="s">
        <v>174</v>
      </c>
      <c r="F40" s="208" t="str">
        <f>HYPERLINK(E40,A40)</f>
        <v>Chiquito Fistrogames</v>
      </c>
      <c r="G40" s="38">
        <v>9</v>
      </c>
      <c r="H40" s="38">
        <v>3</v>
      </c>
      <c r="I40" s="11">
        <v>0.2</v>
      </c>
      <c r="J40" s="11">
        <v>15</v>
      </c>
      <c r="K40" s="11">
        <v>0.2</v>
      </c>
      <c r="L40" s="143">
        <v>15000</v>
      </c>
      <c r="M40" s="211" t="s">
        <v>84</v>
      </c>
      <c r="N40" s="143" t="s">
        <v>85</v>
      </c>
      <c r="O40" s="93" t="s">
        <v>86</v>
      </c>
      <c r="P40" s="93" t="s">
        <v>26</v>
      </c>
      <c r="Q40" s="56">
        <v>0.31380000000000002</v>
      </c>
      <c r="R40" s="60" t="s">
        <v>43</v>
      </c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</row>
    <row r="41" spans="1:30">
      <c r="A41" s="7" t="s">
        <v>175</v>
      </c>
      <c r="B41" s="12" t="s">
        <v>77</v>
      </c>
      <c r="C41" s="9" t="s">
        <v>20</v>
      </c>
      <c r="D41" s="412">
        <v>45215</v>
      </c>
      <c r="E41" s="65" t="s">
        <v>176</v>
      </c>
      <c r="F41" s="208" t="str">
        <f>HYPERLINK(E41,A41)</f>
        <v>Chiquito Halloween</v>
      </c>
      <c r="G41" s="38">
        <v>9</v>
      </c>
      <c r="H41" s="38">
        <v>3</v>
      </c>
      <c r="I41" s="11">
        <v>0.2</v>
      </c>
      <c r="J41" s="11">
        <v>15</v>
      </c>
      <c r="K41" s="11">
        <v>0.2</v>
      </c>
      <c r="L41" s="143">
        <v>15000</v>
      </c>
      <c r="M41" s="211" t="s">
        <v>84</v>
      </c>
      <c r="N41" s="143" t="s">
        <v>85</v>
      </c>
      <c r="O41" s="93" t="s">
        <v>86</v>
      </c>
      <c r="P41" s="93" t="s">
        <v>26</v>
      </c>
      <c r="Q41" s="56">
        <v>0.31380000000000002</v>
      </c>
      <c r="R41" s="60" t="s">
        <v>43</v>
      </c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>
      <c r="A42" s="381" t="s">
        <v>177</v>
      </c>
      <c r="B42" s="12" t="s">
        <v>77</v>
      </c>
      <c r="C42" s="415" t="s">
        <v>20</v>
      </c>
      <c r="D42" s="362">
        <v>46202</v>
      </c>
      <c r="E42" s="363" t="s">
        <v>178</v>
      </c>
      <c r="F42" s="349" t="s">
        <v>177</v>
      </c>
      <c r="G42" s="334">
        <v>9</v>
      </c>
      <c r="H42" s="334">
        <v>3</v>
      </c>
      <c r="I42" s="364">
        <v>0.2</v>
      </c>
      <c r="J42" s="364">
        <v>15</v>
      </c>
      <c r="K42" s="364">
        <v>0.2</v>
      </c>
      <c r="L42" s="364">
        <v>15000</v>
      </c>
      <c r="M42" s="334" t="s">
        <v>137</v>
      </c>
      <c r="N42" s="334" t="s">
        <v>138</v>
      </c>
      <c r="O42" s="334" t="s">
        <v>179</v>
      </c>
      <c r="P42" s="334" t="s">
        <v>26</v>
      </c>
      <c r="Q42" s="334" t="s">
        <v>180</v>
      </c>
      <c r="R42" s="339" t="s">
        <v>27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>
      <c r="A43" s="7" t="s">
        <v>181</v>
      </c>
      <c r="B43" s="12" t="s">
        <v>77</v>
      </c>
      <c r="C43" s="9" t="s">
        <v>20</v>
      </c>
      <c r="D43" s="412">
        <v>45271</v>
      </c>
      <c r="E43" s="65" t="s">
        <v>182</v>
      </c>
      <c r="F43" s="208" t="str">
        <f>HYPERLINK(E43,A43)</f>
        <v>Chiquito Navidad</v>
      </c>
      <c r="G43" s="38">
        <v>9</v>
      </c>
      <c r="H43" s="38">
        <v>3</v>
      </c>
      <c r="I43" s="11">
        <v>0.2</v>
      </c>
      <c r="J43" s="11">
        <v>15</v>
      </c>
      <c r="K43" s="11">
        <v>0.2</v>
      </c>
      <c r="L43" s="143">
        <v>15000</v>
      </c>
      <c r="M43" s="211" t="s">
        <v>84</v>
      </c>
      <c r="N43" s="143" t="s">
        <v>85</v>
      </c>
      <c r="O43" s="93" t="s">
        <v>86</v>
      </c>
      <c r="P43" s="93" t="s">
        <v>26</v>
      </c>
      <c r="Q43" s="56">
        <v>0.31380000000000002</v>
      </c>
      <c r="R43" s="60" t="s">
        <v>43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>
      <c r="A44" s="7" t="s">
        <v>183</v>
      </c>
      <c r="B44" s="12" t="s">
        <v>77</v>
      </c>
      <c r="C44" s="9" t="s">
        <v>20</v>
      </c>
      <c r="D44" s="412">
        <v>45866</v>
      </c>
      <c r="E44" s="65" t="s">
        <v>184</v>
      </c>
      <c r="F44" s="208" t="str">
        <f>HYPERLINK(E44,A44)</f>
        <v>Chiquito Western</v>
      </c>
      <c r="G44" s="38">
        <v>9</v>
      </c>
      <c r="H44" s="38">
        <v>3</v>
      </c>
      <c r="I44" s="11">
        <v>0.2</v>
      </c>
      <c r="J44" s="11">
        <v>15</v>
      </c>
      <c r="K44" s="11">
        <v>0.2</v>
      </c>
      <c r="L44" s="143">
        <v>15000</v>
      </c>
      <c r="M44" s="211" t="s">
        <v>84</v>
      </c>
      <c r="N44" s="143" t="s">
        <v>85</v>
      </c>
      <c r="O44" s="93" t="s">
        <v>86</v>
      </c>
      <c r="P44" s="93" t="s">
        <v>26</v>
      </c>
      <c r="Q44" s="56">
        <v>0.23200000000000001</v>
      </c>
      <c r="R44" s="60" t="s">
        <v>27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30.75">
      <c r="A45" s="7" t="s">
        <v>185</v>
      </c>
      <c r="B45" s="12" t="s">
        <v>77</v>
      </c>
      <c r="C45" s="9" t="s">
        <v>20</v>
      </c>
      <c r="D45" s="412">
        <v>43497</v>
      </c>
      <c r="E45" s="65" t="s">
        <v>186</v>
      </c>
      <c r="F45" s="208" t="str">
        <f>HYPERLINK(E45,A45)</f>
        <v>Chiquito Y El Tesoro De La Pradera</v>
      </c>
      <c r="G45" s="38">
        <v>10</v>
      </c>
      <c r="H45" s="38">
        <v>5</v>
      </c>
      <c r="I45" s="11">
        <v>0.1</v>
      </c>
      <c r="J45" s="11">
        <v>50</v>
      </c>
      <c r="K45" s="11">
        <v>1</v>
      </c>
      <c r="L45" s="143">
        <v>25000</v>
      </c>
      <c r="M45" s="211" t="s">
        <v>160</v>
      </c>
      <c r="N45" s="143" t="s">
        <v>144</v>
      </c>
      <c r="O45" s="93" t="s">
        <v>187</v>
      </c>
      <c r="P45" s="93" t="s">
        <v>26</v>
      </c>
      <c r="Q45" s="56">
        <v>0.20330000000000001</v>
      </c>
      <c r="R45" s="60" t="s">
        <v>32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>
      <c r="A46" s="7" t="s">
        <v>188</v>
      </c>
      <c r="B46" s="12" t="s">
        <v>77</v>
      </c>
      <c r="C46" s="14" t="s">
        <v>98</v>
      </c>
      <c r="D46" s="412">
        <v>45194</v>
      </c>
      <c r="E46" s="65" t="s">
        <v>189</v>
      </c>
      <c r="F46" s="208" t="str">
        <f>HYPERLINK(E46,A46)</f>
        <v>Chiringuito Party</v>
      </c>
      <c r="G46" s="38">
        <v>9</v>
      </c>
      <c r="H46" s="38">
        <v>3</v>
      </c>
      <c r="I46" s="11">
        <v>0.2</v>
      </c>
      <c r="J46" s="11">
        <v>15</v>
      </c>
      <c r="K46" s="11">
        <v>0.2</v>
      </c>
      <c r="L46" s="143">
        <v>15000</v>
      </c>
      <c r="M46" s="211" t="s">
        <v>84</v>
      </c>
      <c r="N46" s="143" t="s">
        <v>85</v>
      </c>
      <c r="O46" s="93" t="s">
        <v>86</v>
      </c>
      <c r="P46" s="93" t="s">
        <v>26</v>
      </c>
      <c r="Q46" s="56">
        <v>0.42030000000000001</v>
      </c>
      <c r="R46" s="60" t="s">
        <v>43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>
      <c r="A47" s="7" t="s">
        <v>190</v>
      </c>
      <c r="B47" s="12" t="s">
        <v>77</v>
      </c>
      <c r="C47" s="9" t="s">
        <v>20</v>
      </c>
      <c r="D47" s="412">
        <v>45782</v>
      </c>
      <c r="E47" s="65" t="s">
        <v>191</v>
      </c>
      <c r="F47" s="208" t="str">
        <f>HYPERLINK(E47,A47)</f>
        <v>Ciclogana Con Cecilia Sopeña</v>
      </c>
      <c r="G47" s="38">
        <v>9</v>
      </c>
      <c r="H47" s="38">
        <v>3</v>
      </c>
      <c r="I47" s="11">
        <v>0.2</v>
      </c>
      <c r="J47" s="11">
        <v>15</v>
      </c>
      <c r="K47" s="11">
        <v>0.2</v>
      </c>
      <c r="L47" s="143">
        <v>15000</v>
      </c>
      <c r="M47" s="211" t="s">
        <v>84</v>
      </c>
      <c r="N47" s="143" t="s">
        <v>85</v>
      </c>
      <c r="O47" s="93" t="s">
        <v>192</v>
      </c>
      <c r="P47" s="93" t="s">
        <v>26</v>
      </c>
      <c r="Q47" s="56">
        <v>0.29870000000000002</v>
      </c>
      <c r="R47" s="60" t="s">
        <v>27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>
      <c r="A48" s="7" t="s">
        <v>193</v>
      </c>
      <c r="B48" s="12" t="s">
        <v>77</v>
      </c>
      <c r="C48" s="14" t="s">
        <v>98</v>
      </c>
      <c r="D48" s="412">
        <v>45194</v>
      </c>
      <c r="E48" s="65" t="s">
        <v>194</v>
      </c>
      <c r="F48" s="208" t="str">
        <f>HYPERLINK(E48,A48)</f>
        <v>Circus Party</v>
      </c>
      <c r="G48" s="38">
        <v>9</v>
      </c>
      <c r="H48" s="38">
        <v>3</v>
      </c>
      <c r="I48" s="11">
        <v>0.2</v>
      </c>
      <c r="J48" s="11">
        <v>15</v>
      </c>
      <c r="K48" s="11">
        <v>0.2</v>
      </c>
      <c r="L48" s="143">
        <v>15000</v>
      </c>
      <c r="M48" s="211" t="s">
        <v>84</v>
      </c>
      <c r="N48" s="143" t="s">
        <v>85</v>
      </c>
      <c r="O48" s="93" t="s">
        <v>86</v>
      </c>
      <c r="P48" s="93" t="s">
        <v>26</v>
      </c>
      <c r="Q48" s="56">
        <v>0.3145</v>
      </c>
      <c r="R48" s="60" t="s">
        <v>43</v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>
      <c r="A49" s="7" t="s">
        <v>195</v>
      </c>
      <c r="B49" s="12" t="s">
        <v>77</v>
      </c>
      <c r="C49" s="9" t="s">
        <v>20</v>
      </c>
      <c r="D49" s="412">
        <v>43101</v>
      </c>
      <c r="E49" s="65" t="s">
        <v>196</v>
      </c>
      <c r="F49" s="208" t="str">
        <f>HYPERLINK(E49,A49)</f>
        <v>Citas</v>
      </c>
      <c r="G49" s="38">
        <v>9</v>
      </c>
      <c r="H49" s="38">
        <v>3</v>
      </c>
      <c r="I49" s="11">
        <v>0.2</v>
      </c>
      <c r="J49" s="11">
        <v>10</v>
      </c>
      <c r="K49" s="11">
        <v>1</v>
      </c>
      <c r="L49" s="143">
        <v>10000</v>
      </c>
      <c r="M49" s="211" t="s">
        <v>93</v>
      </c>
      <c r="N49" s="143" t="s">
        <v>85</v>
      </c>
      <c r="O49" s="93" t="s">
        <v>86</v>
      </c>
      <c r="P49" s="93" t="s">
        <v>26</v>
      </c>
      <c r="Q49" s="56">
        <v>0.37740000000000001</v>
      </c>
      <c r="R49" s="60" t="s">
        <v>43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>
      <c r="A50" s="7" t="s">
        <v>197</v>
      </c>
      <c r="B50" s="12" t="s">
        <v>77</v>
      </c>
      <c r="C50" s="9" t="s">
        <v>20</v>
      </c>
      <c r="D50" s="412">
        <v>43885</v>
      </c>
      <c r="E50" s="65" t="s">
        <v>198</v>
      </c>
      <c r="F50" s="208" t="str">
        <f>HYPERLINK(E50,A50)</f>
        <v>Csi Miami</v>
      </c>
      <c r="G50" s="38">
        <v>9</v>
      </c>
      <c r="H50" s="38">
        <v>3</v>
      </c>
      <c r="I50" s="11">
        <v>0.2</v>
      </c>
      <c r="J50" s="11">
        <v>15</v>
      </c>
      <c r="K50" s="11">
        <v>0.2</v>
      </c>
      <c r="L50" s="143">
        <v>15000</v>
      </c>
      <c r="M50" s="211" t="s">
        <v>84</v>
      </c>
      <c r="N50" s="143" t="s">
        <v>85</v>
      </c>
      <c r="O50" s="93" t="s">
        <v>86</v>
      </c>
      <c r="P50" s="93" t="s">
        <v>26</v>
      </c>
      <c r="Q50" s="56">
        <v>0.37590000000000001</v>
      </c>
      <c r="R50" s="60" t="s">
        <v>32</v>
      </c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>
      <c r="A51" s="7" t="s">
        <v>199</v>
      </c>
      <c r="B51" s="12" t="s">
        <v>77</v>
      </c>
      <c r="C51" s="14" t="s">
        <v>98</v>
      </c>
      <c r="D51" s="412">
        <v>45929</v>
      </c>
      <c r="E51" s="413" t="s">
        <v>200</v>
      </c>
      <c r="F51" s="208" t="str">
        <f>HYPERLINK(E51,A51)</f>
        <v>Don Premiote</v>
      </c>
      <c r="G51" s="38">
        <v>9</v>
      </c>
      <c r="H51" s="38">
        <v>3</v>
      </c>
      <c r="I51" s="11">
        <v>0.2</v>
      </c>
      <c r="J51" s="11">
        <v>15</v>
      </c>
      <c r="K51" s="11">
        <v>0.2</v>
      </c>
      <c r="L51" s="143">
        <v>15000</v>
      </c>
      <c r="M51" s="211" t="s">
        <v>84</v>
      </c>
      <c r="N51" s="143" t="s">
        <v>85</v>
      </c>
      <c r="O51" s="93" t="s">
        <v>86</v>
      </c>
      <c r="P51" s="93" t="s">
        <v>26</v>
      </c>
      <c r="Q51" s="56">
        <v>0.17269999999999999</v>
      </c>
      <c r="R51" s="60" t="s">
        <v>43</v>
      </c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76.5">
      <c r="A52" s="7" t="s">
        <v>201</v>
      </c>
      <c r="B52" s="12" t="s">
        <v>77</v>
      </c>
      <c r="C52" s="9" t="s">
        <v>20</v>
      </c>
      <c r="D52" s="412">
        <v>44095</v>
      </c>
      <c r="E52" s="423" t="s">
        <v>202</v>
      </c>
      <c r="F52" s="208" t="str">
        <f>HYPERLINK(E52,A52)</f>
        <v>Dream 3 Team</v>
      </c>
      <c r="G52" s="39">
        <v>20</v>
      </c>
      <c r="H52" s="39">
        <v>5</v>
      </c>
      <c r="I52" s="11">
        <v>0.2</v>
      </c>
      <c r="J52" s="15">
        <v>25</v>
      </c>
      <c r="K52" s="15">
        <v>1</v>
      </c>
      <c r="L52" s="259" t="s">
        <v>203</v>
      </c>
      <c r="M52" s="211" t="s">
        <v>126</v>
      </c>
      <c r="N52" s="143" t="s">
        <v>204</v>
      </c>
      <c r="O52" s="93" t="s">
        <v>205</v>
      </c>
      <c r="P52" s="93" t="s">
        <v>26</v>
      </c>
      <c r="Q52" s="29">
        <v>0.31319999999999998</v>
      </c>
      <c r="R52" s="61" t="s">
        <v>43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>
      <c r="A53" s="371" t="s">
        <v>206</v>
      </c>
      <c r="B53" s="12" t="s">
        <v>77</v>
      </c>
      <c r="C53" s="372" t="s">
        <v>98</v>
      </c>
      <c r="D53" s="424">
        <v>46118</v>
      </c>
      <c r="E53" s="425" t="s">
        <v>207</v>
      </c>
      <c r="F53" s="373" t="s">
        <v>208</v>
      </c>
      <c r="G53" s="350">
        <v>25</v>
      </c>
      <c r="H53" s="350">
        <v>5</v>
      </c>
      <c r="I53" s="439">
        <v>0.25</v>
      </c>
      <c r="J53" s="439">
        <v>50</v>
      </c>
      <c r="K53" s="439">
        <v>1</v>
      </c>
      <c r="L53" s="439">
        <v>52000</v>
      </c>
      <c r="M53" s="350" t="s">
        <v>209</v>
      </c>
      <c r="N53" s="350" t="s">
        <v>210</v>
      </c>
      <c r="O53" s="350" t="s">
        <v>211</v>
      </c>
      <c r="P53" s="350" t="s">
        <v>26</v>
      </c>
      <c r="Q53" s="350" t="s">
        <v>212</v>
      </c>
      <c r="R53" s="370" t="s">
        <v>43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30.75">
      <c r="A54" s="7" t="s">
        <v>213</v>
      </c>
      <c r="B54" s="12" t="s">
        <v>77</v>
      </c>
      <c r="C54" s="9" t="s">
        <v>20</v>
      </c>
      <c r="D54" s="412">
        <v>45257</v>
      </c>
      <c r="E54" s="423" t="s">
        <v>214</v>
      </c>
      <c r="F54" s="208" t="str">
        <f>HYPERLINK(E54,A54)</f>
        <v>El Bandido Explosivo</v>
      </c>
      <c r="G54" s="38">
        <v>10</v>
      </c>
      <c r="H54" s="38">
        <v>5</v>
      </c>
      <c r="I54" s="11">
        <v>0.1</v>
      </c>
      <c r="J54" s="15">
        <v>50</v>
      </c>
      <c r="K54" s="15">
        <v>1</v>
      </c>
      <c r="L54" s="143">
        <v>105000</v>
      </c>
      <c r="M54" s="211" t="s">
        <v>215</v>
      </c>
      <c r="N54" s="143" t="s">
        <v>61</v>
      </c>
      <c r="O54" s="93" t="s">
        <v>216</v>
      </c>
      <c r="P54" s="93" t="s">
        <v>26</v>
      </c>
      <c r="Q54" s="56">
        <v>0.13189999999999999</v>
      </c>
      <c r="R54" s="60" t="s">
        <v>43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30.75">
      <c r="A55" s="7" t="s">
        <v>217</v>
      </c>
      <c r="B55" s="12" t="s">
        <v>77</v>
      </c>
      <c r="C55" s="14" t="s">
        <v>20</v>
      </c>
      <c r="D55" s="412">
        <v>46006</v>
      </c>
      <c r="E55" s="65" t="s">
        <v>218</v>
      </c>
      <c r="F55" s="208" t="str">
        <f>HYPERLINK(E55,A55)</f>
        <v>El Bandido Explosivo 2</v>
      </c>
      <c r="G55" s="38">
        <v>10</v>
      </c>
      <c r="H55" s="38">
        <v>5</v>
      </c>
      <c r="I55" s="11">
        <v>0.1</v>
      </c>
      <c r="J55" s="11">
        <v>50</v>
      </c>
      <c r="K55" s="11">
        <v>1</v>
      </c>
      <c r="L55" s="143">
        <v>105000</v>
      </c>
      <c r="M55" s="211" t="s">
        <v>219</v>
      </c>
      <c r="N55" s="143" t="s">
        <v>61</v>
      </c>
      <c r="O55" s="211" t="s">
        <v>220</v>
      </c>
      <c r="P55" s="93" t="s">
        <v>26</v>
      </c>
      <c r="Q55" s="56">
        <v>0.1779</v>
      </c>
      <c r="R55" s="60" t="s">
        <v>43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>
      <c r="A56" s="7" t="s">
        <v>221</v>
      </c>
      <c r="B56" s="12" t="s">
        <v>77</v>
      </c>
      <c r="C56" s="9" t="s">
        <v>20</v>
      </c>
      <c r="D56" s="412">
        <v>43497</v>
      </c>
      <c r="E56" s="65" t="s">
        <v>222</v>
      </c>
      <c r="F56" s="208" t="str">
        <f>HYPERLINK(E56,A56)</f>
        <v>El Cartel</v>
      </c>
      <c r="G56" s="38">
        <v>9</v>
      </c>
      <c r="H56" s="38">
        <v>3</v>
      </c>
      <c r="I56" s="11">
        <v>1</v>
      </c>
      <c r="J56" s="11">
        <v>15</v>
      </c>
      <c r="K56" s="11">
        <v>1</v>
      </c>
      <c r="L56" s="143">
        <v>15000</v>
      </c>
      <c r="M56" s="211" t="s">
        <v>169</v>
      </c>
      <c r="N56" s="143" t="s">
        <v>85</v>
      </c>
      <c r="O56" s="93" t="s">
        <v>170</v>
      </c>
      <c r="P56" s="93" t="s">
        <v>26</v>
      </c>
      <c r="Q56" s="56">
        <v>0.3175</v>
      </c>
      <c r="R56" s="60" t="s">
        <v>43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>
      <c r="A57" s="7" t="s">
        <v>223</v>
      </c>
      <c r="B57" s="12" t="s">
        <v>77</v>
      </c>
      <c r="C57" s="9" t="s">
        <v>20</v>
      </c>
      <c r="D57" s="412">
        <v>44739</v>
      </c>
      <c r="E57" s="65" t="s">
        <v>224</v>
      </c>
      <c r="F57" s="208" t="str">
        <f>HYPERLINK(E57,A57)</f>
        <v>El Cartel Plus</v>
      </c>
      <c r="G57" s="38">
        <v>9</v>
      </c>
      <c r="H57" s="38">
        <v>3</v>
      </c>
      <c r="I57" s="11">
        <v>0.2</v>
      </c>
      <c r="J57" s="11">
        <v>15</v>
      </c>
      <c r="K57" s="11">
        <v>0.2</v>
      </c>
      <c r="L57" s="143">
        <v>15000</v>
      </c>
      <c r="M57" s="211" t="s">
        <v>84</v>
      </c>
      <c r="N57" s="143" t="s">
        <v>85</v>
      </c>
      <c r="O57" s="93" t="s">
        <v>86</v>
      </c>
      <c r="P57" s="93" t="s">
        <v>26</v>
      </c>
      <c r="Q57" s="56">
        <v>0.3221</v>
      </c>
      <c r="R57" s="60" t="s">
        <v>43</v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>
      <c r="A58" s="7" t="s">
        <v>225</v>
      </c>
      <c r="B58" s="12" t="s">
        <v>77</v>
      </c>
      <c r="C58" s="9" t="s">
        <v>20</v>
      </c>
      <c r="D58" s="412">
        <v>45222</v>
      </c>
      <c r="E58" s="65" t="s">
        <v>226</v>
      </c>
      <c r="F58" s="208" t="str">
        <f>HYPERLINK(E58,A58)</f>
        <v>El Cartel Plus Halloween</v>
      </c>
      <c r="G58" s="38">
        <v>9</v>
      </c>
      <c r="H58" s="38">
        <v>3</v>
      </c>
      <c r="I58" s="11">
        <v>0.2</v>
      </c>
      <c r="J58" s="11">
        <v>15</v>
      </c>
      <c r="K58" s="11">
        <v>0.2</v>
      </c>
      <c r="L58" s="143">
        <v>15000</v>
      </c>
      <c r="M58" s="211" t="s">
        <v>84</v>
      </c>
      <c r="N58" s="143" t="s">
        <v>85</v>
      </c>
      <c r="O58" s="93" t="s">
        <v>86</v>
      </c>
      <c r="P58" s="93" t="s">
        <v>26</v>
      </c>
      <c r="Q58" s="56">
        <v>0.3221</v>
      </c>
      <c r="R58" s="60" t="s">
        <v>43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>
      <c r="A59" s="7" t="s">
        <v>227</v>
      </c>
      <c r="B59" s="12" t="s">
        <v>77</v>
      </c>
      <c r="C59" s="9" t="s">
        <v>20</v>
      </c>
      <c r="D59" s="412">
        <v>45271</v>
      </c>
      <c r="E59" s="65" t="s">
        <v>228</v>
      </c>
      <c r="F59" s="208" t="str">
        <f>HYPERLINK(E59,A59)</f>
        <v>El Cartel Plus Navidad</v>
      </c>
      <c r="G59" s="38">
        <v>9</v>
      </c>
      <c r="H59" s="38">
        <v>3</v>
      </c>
      <c r="I59" s="11">
        <v>0.2</v>
      </c>
      <c r="J59" s="11">
        <v>15</v>
      </c>
      <c r="K59" s="11">
        <v>0.2</v>
      </c>
      <c r="L59" s="143">
        <v>15000</v>
      </c>
      <c r="M59" s="211" t="s">
        <v>84</v>
      </c>
      <c r="N59" s="143" t="s">
        <v>85</v>
      </c>
      <c r="O59" s="93" t="s">
        <v>86</v>
      </c>
      <c r="P59" s="93" t="s">
        <v>26</v>
      </c>
      <c r="Q59" s="56">
        <v>0.3221</v>
      </c>
      <c r="R59" s="60" t="s">
        <v>43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>
      <c r="A60" s="7" t="s">
        <v>229</v>
      </c>
      <c r="B60" s="12" t="s">
        <v>77</v>
      </c>
      <c r="C60" s="9" t="s">
        <v>20</v>
      </c>
      <c r="D60" s="412">
        <v>43644</v>
      </c>
      <c r="E60" s="65" t="s">
        <v>230</v>
      </c>
      <c r="F60" s="208" t="str">
        <f>HYPERLINK(E60,A60)</f>
        <v>El Dioni ¿Dónde Esta La Pasta?</v>
      </c>
      <c r="G60" s="38">
        <v>9</v>
      </c>
      <c r="H60" s="38">
        <v>3</v>
      </c>
      <c r="I60" s="11">
        <v>0.2</v>
      </c>
      <c r="J60" s="11">
        <v>15</v>
      </c>
      <c r="K60" s="11">
        <v>0.2</v>
      </c>
      <c r="L60" s="143">
        <v>15000</v>
      </c>
      <c r="M60" s="211" t="s">
        <v>84</v>
      </c>
      <c r="N60" s="143" t="s">
        <v>85</v>
      </c>
      <c r="O60" s="93" t="s">
        <v>86</v>
      </c>
      <c r="P60" s="93" t="s">
        <v>26</v>
      </c>
      <c r="Q60" s="56">
        <v>0.37740000000000001</v>
      </c>
      <c r="R60" s="60" t="s">
        <v>32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>
      <c r="A61" s="7" t="s">
        <v>231</v>
      </c>
      <c r="B61" s="12" t="s">
        <v>77</v>
      </c>
      <c r="C61" s="9" t="s">
        <v>20</v>
      </c>
      <c r="D61" s="412">
        <v>45411</v>
      </c>
      <c r="E61" s="65" t="s">
        <v>232</v>
      </c>
      <c r="F61" s="208" t="str">
        <f>HYPERLINK(E61,A61)</f>
        <v>El Dioni En La Feria De Abril</v>
      </c>
      <c r="G61" s="38">
        <v>9</v>
      </c>
      <c r="H61" s="38">
        <v>3</v>
      </c>
      <c r="I61" s="11">
        <v>0.2</v>
      </c>
      <c r="J61" s="11">
        <v>15</v>
      </c>
      <c r="K61" s="11">
        <v>0.2</v>
      </c>
      <c r="L61" s="143">
        <v>15000</v>
      </c>
      <c r="M61" s="211" t="s">
        <v>84</v>
      </c>
      <c r="N61" s="143" t="s">
        <v>85</v>
      </c>
      <c r="O61" s="93" t="s">
        <v>86</v>
      </c>
      <c r="P61" s="93" t="s">
        <v>26</v>
      </c>
      <c r="Q61" s="56">
        <v>0.2702</v>
      </c>
      <c r="R61" s="60" t="s">
        <v>43</v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30.75">
      <c r="A62" s="7" t="s">
        <v>233</v>
      </c>
      <c r="B62" s="12" t="s">
        <v>77</v>
      </c>
      <c r="C62" s="14" t="s">
        <v>98</v>
      </c>
      <c r="D62" s="412">
        <v>45236</v>
      </c>
      <c r="E62" s="65" t="s">
        <v>234</v>
      </c>
      <c r="F62" s="208" t="str">
        <f>HYPERLINK(E62,A62)</f>
        <v>El Gato Magico</v>
      </c>
      <c r="G62" s="38">
        <v>20</v>
      </c>
      <c r="H62" s="38">
        <v>5</v>
      </c>
      <c r="I62" s="11">
        <v>0.2</v>
      </c>
      <c r="J62" s="11">
        <v>25</v>
      </c>
      <c r="K62" s="11">
        <v>1</v>
      </c>
      <c r="L62" s="143">
        <v>62500</v>
      </c>
      <c r="M62" s="211" t="s">
        <v>126</v>
      </c>
      <c r="N62" s="143" t="s">
        <v>235</v>
      </c>
      <c r="O62" s="93" t="s">
        <v>62</v>
      </c>
      <c r="P62" s="93" t="s">
        <v>26</v>
      </c>
      <c r="Q62" s="56">
        <v>0.39529999999999998</v>
      </c>
      <c r="R62" s="60" t="s">
        <v>43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>
      <c r="A63" s="7" t="s">
        <v>236</v>
      </c>
      <c r="B63" s="12" t="s">
        <v>77</v>
      </c>
      <c r="C63" s="14" t="s">
        <v>98</v>
      </c>
      <c r="D63" s="412">
        <v>45936</v>
      </c>
      <c r="E63" s="65" t="s">
        <v>237</v>
      </c>
      <c r="F63" s="208" t="str">
        <f>HYPERLINK(E63,A63)</f>
        <v>El Gato Magico Explosivo</v>
      </c>
      <c r="G63" s="38">
        <v>10</v>
      </c>
      <c r="H63" s="38">
        <v>5</v>
      </c>
      <c r="I63" s="11">
        <v>0.1</v>
      </c>
      <c r="J63" s="15">
        <v>25</v>
      </c>
      <c r="K63" s="15">
        <v>1</v>
      </c>
      <c r="L63" s="143">
        <v>52500</v>
      </c>
      <c r="M63" s="211" t="s">
        <v>238</v>
      </c>
      <c r="N63" s="143" t="s">
        <v>61</v>
      </c>
      <c r="O63" s="93" t="s">
        <v>216</v>
      </c>
      <c r="P63" s="93" t="s">
        <v>26</v>
      </c>
      <c r="Q63" s="56">
        <v>0.15909999999999999</v>
      </c>
      <c r="R63" s="60" t="s">
        <v>43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>
      <c r="A64" s="7" t="s">
        <v>239</v>
      </c>
      <c r="B64" s="12" t="s">
        <v>77</v>
      </c>
      <c r="C64" s="9" t="s">
        <v>20</v>
      </c>
      <c r="D64" s="412">
        <v>44760</v>
      </c>
      <c r="E64" s="65" t="s">
        <v>240</v>
      </c>
      <c r="F64" s="208" t="str">
        <f>HYPERLINK(E64,A64)</f>
        <v>El Koala</v>
      </c>
      <c r="G64" s="38">
        <v>9</v>
      </c>
      <c r="H64" s="38">
        <v>3</v>
      </c>
      <c r="I64" s="11">
        <v>0.2</v>
      </c>
      <c r="J64" s="11">
        <v>15</v>
      </c>
      <c r="K64" s="11">
        <v>0.2</v>
      </c>
      <c r="L64" s="143">
        <v>15000</v>
      </c>
      <c r="M64" s="211" t="s">
        <v>84</v>
      </c>
      <c r="N64" s="143" t="s">
        <v>85</v>
      </c>
      <c r="O64" s="93" t="s">
        <v>86</v>
      </c>
      <c r="P64" s="93" t="s">
        <v>26</v>
      </c>
      <c r="Q64" s="56">
        <v>0.3135</v>
      </c>
      <c r="R64" s="60" t="s">
        <v>43</v>
      </c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>
      <c r="A65" s="374" t="s">
        <v>241</v>
      </c>
      <c r="B65" s="12" t="s">
        <v>77</v>
      </c>
      <c r="C65" s="366" t="s">
        <v>98</v>
      </c>
      <c r="D65" s="426">
        <v>46055</v>
      </c>
      <c r="E65" s="427" t="s">
        <v>242</v>
      </c>
      <c r="F65" s="367" t="s">
        <v>243</v>
      </c>
      <c r="G65" s="368">
        <v>10</v>
      </c>
      <c r="H65" s="368">
        <v>5</v>
      </c>
      <c r="I65" s="368" t="s">
        <v>244</v>
      </c>
      <c r="J65" s="11">
        <v>50</v>
      </c>
      <c r="K65" s="368" t="s">
        <v>54</v>
      </c>
      <c r="L65" s="375" t="s">
        <v>245</v>
      </c>
      <c r="M65" s="368" t="s">
        <v>246</v>
      </c>
      <c r="N65" s="368" t="s">
        <v>247</v>
      </c>
      <c r="O65" s="368" t="s">
        <v>248</v>
      </c>
      <c r="P65" s="368" t="s">
        <v>26</v>
      </c>
      <c r="Q65" s="368" t="s">
        <v>249</v>
      </c>
      <c r="R65" s="369" t="s">
        <v>43</v>
      </c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>
      <c r="A66" s="7" t="s">
        <v>250</v>
      </c>
      <c r="B66" s="12" t="s">
        <v>77</v>
      </c>
      <c r="C66" s="9" t="s">
        <v>20</v>
      </c>
      <c r="D66" s="412">
        <v>44830</v>
      </c>
      <c r="E66" s="65" t="s">
        <v>251</v>
      </c>
      <c r="F66" s="208" t="str">
        <f>HYPERLINK(E66,A66)</f>
        <v>El Sevilla</v>
      </c>
      <c r="G66" s="38">
        <v>9</v>
      </c>
      <c r="H66" s="38">
        <v>3</v>
      </c>
      <c r="I66" s="11">
        <v>0.2</v>
      </c>
      <c r="J66" s="11">
        <v>15</v>
      </c>
      <c r="K66" s="11">
        <v>0.2</v>
      </c>
      <c r="L66" s="143">
        <v>15000</v>
      </c>
      <c r="M66" s="211" t="s">
        <v>84</v>
      </c>
      <c r="N66" s="143" t="s">
        <v>85</v>
      </c>
      <c r="O66" s="93" t="s">
        <v>86</v>
      </c>
      <c r="P66" s="93" t="s">
        <v>26</v>
      </c>
      <c r="Q66" s="56">
        <v>0.29459999999999997</v>
      </c>
      <c r="R66" s="60" t="s">
        <v>43</v>
      </c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30.75">
      <c r="A67" s="7" t="s">
        <v>252</v>
      </c>
      <c r="B67" s="12" t="s">
        <v>77</v>
      </c>
      <c r="C67" s="14" t="s">
        <v>98</v>
      </c>
      <c r="D67" s="412">
        <v>45810</v>
      </c>
      <c r="E67" s="65" t="s">
        <v>253</v>
      </c>
      <c r="F67" s="208" t="str">
        <f>HYPERLINK(E67,A67)</f>
        <v>El Tesoro De Atenea</v>
      </c>
      <c r="G67" s="38">
        <v>10</v>
      </c>
      <c r="H67" s="38">
        <v>5</v>
      </c>
      <c r="I67" s="11">
        <v>0.1</v>
      </c>
      <c r="J67" s="11">
        <v>20</v>
      </c>
      <c r="K67" s="11">
        <v>1</v>
      </c>
      <c r="L67" s="143">
        <v>42000</v>
      </c>
      <c r="M67" s="211" t="s">
        <v>107</v>
      </c>
      <c r="N67" s="143" t="s">
        <v>61</v>
      </c>
      <c r="O67" s="211" t="s">
        <v>254</v>
      </c>
      <c r="P67" s="211" t="s">
        <v>26</v>
      </c>
      <c r="Q67" s="56">
        <v>0.12</v>
      </c>
      <c r="R67" s="60" t="s">
        <v>43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30.75">
      <c r="A68" s="7" t="s">
        <v>255</v>
      </c>
      <c r="B68" s="12" t="s">
        <v>77</v>
      </c>
      <c r="C68" s="14" t="s">
        <v>98</v>
      </c>
      <c r="D68" s="412">
        <v>45131</v>
      </c>
      <c r="E68" s="65" t="s">
        <v>256</v>
      </c>
      <c r="F68" s="208" t="str">
        <f>HYPERLINK(E68,A68)</f>
        <v>El Tesoro De Cleopatra</v>
      </c>
      <c r="G68" s="38">
        <v>10</v>
      </c>
      <c r="H68" s="38">
        <v>5</v>
      </c>
      <c r="I68" s="11">
        <v>0.1</v>
      </c>
      <c r="J68" s="11">
        <v>10</v>
      </c>
      <c r="K68" s="11">
        <v>1</v>
      </c>
      <c r="L68" s="143">
        <v>55000</v>
      </c>
      <c r="M68" s="211" t="s">
        <v>257</v>
      </c>
      <c r="N68" s="143" t="s">
        <v>258</v>
      </c>
      <c r="O68" s="93" t="s">
        <v>259</v>
      </c>
      <c r="P68" s="93" t="s">
        <v>26</v>
      </c>
      <c r="Q68" s="56">
        <v>0.3236</v>
      </c>
      <c r="R68" s="60" t="s">
        <v>43</v>
      </c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>
      <c r="A69" s="7" t="s">
        <v>260</v>
      </c>
      <c r="B69" s="12" t="s">
        <v>77</v>
      </c>
      <c r="C69" s="17" t="s">
        <v>98</v>
      </c>
      <c r="D69" s="412">
        <v>44823</v>
      </c>
      <c r="E69" s="65" t="s">
        <v>261</v>
      </c>
      <c r="F69" s="208" t="str">
        <f>HYPERLINK(E69,A69)</f>
        <v>El Tesoro De La Jungla</v>
      </c>
      <c r="G69" s="38">
        <v>9</v>
      </c>
      <c r="H69" s="38">
        <v>3</v>
      </c>
      <c r="I69" s="11">
        <v>0.2</v>
      </c>
      <c r="J69" s="11">
        <v>15</v>
      </c>
      <c r="K69" s="11">
        <v>0.2</v>
      </c>
      <c r="L69" s="143">
        <v>15000</v>
      </c>
      <c r="M69" s="211" t="s">
        <v>84</v>
      </c>
      <c r="N69" s="143" t="s">
        <v>85</v>
      </c>
      <c r="O69" s="93" t="s">
        <v>86</v>
      </c>
      <c r="P69" s="93" t="s">
        <v>26</v>
      </c>
      <c r="Q69" s="56">
        <v>0.37590000000000001</v>
      </c>
      <c r="R69" s="60" t="s">
        <v>32</v>
      </c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>
      <c r="A70" s="7" t="s">
        <v>262</v>
      </c>
      <c r="B70" s="12" t="s">
        <v>77</v>
      </c>
      <c r="C70" s="14" t="s">
        <v>98</v>
      </c>
      <c r="D70" s="412">
        <v>41787</v>
      </c>
      <c r="E70" s="65" t="s">
        <v>263</v>
      </c>
      <c r="F70" s="208" t="str">
        <f>HYPERLINK(E70,A70)</f>
        <v>El Tesoro Pirata</v>
      </c>
      <c r="G70" s="38">
        <v>9</v>
      </c>
      <c r="H70" s="38">
        <v>3</v>
      </c>
      <c r="I70" s="11">
        <v>0.2</v>
      </c>
      <c r="J70" s="11">
        <v>1</v>
      </c>
      <c r="K70" s="11">
        <v>0.2</v>
      </c>
      <c r="L70" s="143">
        <v>600</v>
      </c>
      <c r="M70" s="421" t="s">
        <v>143</v>
      </c>
      <c r="N70" s="143" t="s">
        <v>264</v>
      </c>
      <c r="O70" s="422">
        <v>0.9</v>
      </c>
      <c r="P70" s="422" t="s">
        <v>26</v>
      </c>
      <c r="Q70" s="56">
        <v>0.2155</v>
      </c>
      <c r="R70" s="60" t="s">
        <v>43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>
      <c r="A71" s="7" t="s">
        <v>265</v>
      </c>
      <c r="B71" s="12" t="s">
        <v>77</v>
      </c>
      <c r="C71" s="9" t="s">
        <v>20</v>
      </c>
      <c r="D71" s="412">
        <v>43497</v>
      </c>
      <c r="E71" s="65" t="s">
        <v>266</v>
      </c>
      <c r="F71" s="208" t="str">
        <f>HYPERLINK(E71,A71)</f>
        <v>El Tesoro Pirata 5000</v>
      </c>
      <c r="G71" s="38">
        <v>9</v>
      </c>
      <c r="H71" s="38">
        <v>3</v>
      </c>
      <c r="I71" s="11">
        <v>1</v>
      </c>
      <c r="J71" s="11">
        <v>5</v>
      </c>
      <c r="K71" s="11">
        <v>1</v>
      </c>
      <c r="L71" s="143">
        <v>5000</v>
      </c>
      <c r="M71" s="421" t="s">
        <v>267</v>
      </c>
      <c r="N71" s="143" t="s">
        <v>85</v>
      </c>
      <c r="O71" s="422">
        <v>0.9</v>
      </c>
      <c r="P71" s="422" t="s">
        <v>26</v>
      </c>
      <c r="Q71" s="56">
        <v>0.2762</v>
      </c>
      <c r="R71" s="60" t="s">
        <v>43</v>
      </c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>
      <c r="A72" s="7" t="s">
        <v>268</v>
      </c>
      <c r="B72" s="12" t="s">
        <v>77</v>
      </c>
      <c r="C72" s="9" t="s">
        <v>20</v>
      </c>
      <c r="D72" s="412">
        <v>45082</v>
      </c>
      <c r="E72" s="65" t="s">
        <v>266</v>
      </c>
      <c r="F72" s="208" t="str">
        <f>HYPERLINK(E72,A72)</f>
        <v>El Tesoro Pirata Plus</v>
      </c>
      <c r="G72" s="38">
        <v>9</v>
      </c>
      <c r="H72" s="38">
        <v>3</v>
      </c>
      <c r="I72" s="11">
        <v>0.2</v>
      </c>
      <c r="J72" s="11">
        <v>15</v>
      </c>
      <c r="K72" s="11">
        <v>0.2</v>
      </c>
      <c r="L72" s="143">
        <v>15000</v>
      </c>
      <c r="M72" s="211" t="s">
        <v>84</v>
      </c>
      <c r="N72" s="143" t="s">
        <v>85</v>
      </c>
      <c r="O72" s="93" t="s">
        <v>86</v>
      </c>
      <c r="P72" s="93" t="s">
        <v>26</v>
      </c>
      <c r="Q72" s="56">
        <v>0.28120000000000001</v>
      </c>
      <c r="R72" s="60" t="s">
        <v>27</v>
      </c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30.75">
      <c r="A73" s="7" t="s">
        <v>269</v>
      </c>
      <c r="B73" s="12" t="s">
        <v>77</v>
      </c>
      <c r="C73" s="9" t="s">
        <v>20</v>
      </c>
      <c r="D73" s="412">
        <v>44872</v>
      </c>
      <c r="E73" s="65" t="s">
        <v>270</v>
      </c>
      <c r="F73" s="208" t="str">
        <f>HYPERLINK(E73,A73)</f>
        <v>Elsa Anka Estaca Plateada</v>
      </c>
      <c r="G73" s="38">
        <v>10</v>
      </c>
      <c r="H73" s="38">
        <v>5</v>
      </c>
      <c r="I73" s="11">
        <v>0.1</v>
      </c>
      <c r="J73" s="15">
        <v>10</v>
      </c>
      <c r="K73" s="15">
        <v>1</v>
      </c>
      <c r="L73" s="259">
        <v>55000</v>
      </c>
      <c r="M73" s="211" t="s">
        <v>257</v>
      </c>
      <c r="N73" s="143" t="s">
        <v>258</v>
      </c>
      <c r="O73" s="93" t="s">
        <v>271</v>
      </c>
      <c r="P73" s="93" t="s">
        <v>26</v>
      </c>
      <c r="Q73" s="56">
        <v>0.32469999999999999</v>
      </c>
      <c r="R73" s="60" t="s">
        <v>27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>
      <c r="A74" s="381" t="s">
        <v>272</v>
      </c>
      <c r="B74" s="12" t="s">
        <v>77</v>
      </c>
      <c r="C74" s="329" t="s">
        <v>98</v>
      </c>
      <c r="D74" s="406">
        <v>46146</v>
      </c>
      <c r="E74" s="363" t="s">
        <v>273</v>
      </c>
      <c r="F74" s="349" t="s">
        <v>272</v>
      </c>
      <c r="G74" s="334">
        <v>9</v>
      </c>
      <c r="H74" s="334">
        <v>3</v>
      </c>
      <c r="I74" s="364">
        <v>0.2</v>
      </c>
      <c r="J74" s="364">
        <v>15</v>
      </c>
      <c r="K74" s="364">
        <v>0.2</v>
      </c>
      <c r="L74" s="364">
        <v>15000</v>
      </c>
      <c r="M74" s="334" t="s">
        <v>137</v>
      </c>
      <c r="N74" s="334" t="s">
        <v>138</v>
      </c>
      <c r="O74" s="334" t="s">
        <v>86</v>
      </c>
      <c r="P74" s="334" t="s">
        <v>26</v>
      </c>
      <c r="Q74" s="334" t="s">
        <v>274</v>
      </c>
      <c r="R74" s="339" t="s">
        <v>27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>
      <c r="A75" s="7" t="s">
        <v>275</v>
      </c>
      <c r="B75" s="12" t="s">
        <v>77</v>
      </c>
      <c r="C75" s="9" t="s">
        <v>20</v>
      </c>
      <c r="D75" s="412">
        <v>45320</v>
      </c>
      <c r="E75" s="65" t="s">
        <v>276</v>
      </c>
      <c r="F75" s="208" t="str">
        <f>HYPERLINK(E75,A75)</f>
        <v>Escuela De Magia</v>
      </c>
      <c r="G75" s="38">
        <v>9</v>
      </c>
      <c r="H75" s="38">
        <v>3</v>
      </c>
      <c r="I75" s="11">
        <v>0.2</v>
      </c>
      <c r="J75" s="11">
        <v>15</v>
      </c>
      <c r="K75" s="11">
        <v>0.2</v>
      </c>
      <c r="L75" s="143">
        <v>15000</v>
      </c>
      <c r="M75" s="211" t="s">
        <v>84</v>
      </c>
      <c r="N75" s="143" t="s">
        <v>85</v>
      </c>
      <c r="O75" s="93" t="s">
        <v>86</v>
      </c>
      <c r="P75" s="93" t="s">
        <v>26</v>
      </c>
      <c r="Q75" s="56">
        <v>0.42159999999999997</v>
      </c>
      <c r="R75" s="60" t="s">
        <v>27</v>
      </c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>
      <c r="A76" s="325" t="s">
        <v>277</v>
      </c>
      <c r="B76" s="326" t="s">
        <v>77</v>
      </c>
      <c r="C76" s="9" t="s">
        <v>20</v>
      </c>
      <c r="D76" s="362">
        <v>46079</v>
      </c>
      <c r="E76" s="363" t="s">
        <v>278</v>
      </c>
      <c r="F76" s="349" t="s">
        <v>279</v>
      </c>
      <c r="G76" s="334">
        <v>9</v>
      </c>
      <c r="H76" s="334">
        <v>3</v>
      </c>
      <c r="I76" s="334" t="s">
        <v>52</v>
      </c>
      <c r="J76" s="334" t="s">
        <v>53</v>
      </c>
      <c r="K76" s="334" t="s">
        <v>52</v>
      </c>
      <c r="L76" s="334" t="s">
        <v>280</v>
      </c>
      <c r="M76" s="334" t="s">
        <v>281</v>
      </c>
      <c r="N76" s="334" t="s">
        <v>138</v>
      </c>
      <c r="O76" s="334" t="s">
        <v>139</v>
      </c>
      <c r="P76" s="334" t="s">
        <v>26</v>
      </c>
      <c r="Q76" s="334" t="s">
        <v>282</v>
      </c>
      <c r="R76" s="339" t="s">
        <v>27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>
      <c r="A77" s="374" t="s">
        <v>283</v>
      </c>
      <c r="B77" s="12" t="s">
        <v>77</v>
      </c>
      <c r="C77" s="366" t="s">
        <v>98</v>
      </c>
      <c r="D77" s="426">
        <v>46034</v>
      </c>
      <c r="E77" s="413" t="s">
        <v>284</v>
      </c>
      <c r="F77" s="208" t="str">
        <f>HYPERLINK(E77,A77)</f>
        <v>Espada De Camelot</v>
      </c>
      <c r="G77" s="368">
        <v>9</v>
      </c>
      <c r="H77" s="368">
        <v>3</v>
      </c>
      <c r="I77" s="375">
        <v>0.2</v>
      </c>
      <c r="J77" s="375">
        <v>15</v>
      </c>
      <c r="K77" s="375">
        <v>0.2</v>
      </c>
      <c r="L77" s="375">
        <v>15000</v>
      </c>
      <c r="M77" s="368" t="s">
        <v>84</v>
      </c>
      <c r="N77" s="368" t="s">
        <v>85</v>
      </c>
      <c r="O77" s="368" t="s">
        <v>285</v>
      </c>
      <c r="P77" s="368" t="s">
        <v>26</v>
      </c>
      <c r="Q77" s="376">
        <v>0.3145</v>
      </c>
      <c r="R77" s="369" t="s">
        <v>43</v>
      </c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>
      <c r="A78" s="7" t="s">
        <v>286</v>
      </c>
      <c r="B78" s="12" t="s">
        <v>77</v>
      </c>
      <c r="C78" s="14" t="s">
        <v>98</v>
      </c>
      <c r="D78" s="412">
        <v>44676</v>
      </c>
      <c r="E78" s="65" t="s">
        <v>287</v>
      </c>
      <c r="F78" s="208" t="str">
        <f>HYPERLINK(E78,A78)</f>
        <v>Eugenio</v>
      </c>
      <c r="G78" s="38">
        <v>9</v>
      </c>
      <c r="H78" s="38">
        <v>3</v>
      </c>
      <c r="I78" s="11">
        <v>0.2</v>
      </c>
      <c r="J78" s="11">
        <v>15</v>
      </c>
      <c r="K78" s="11">
        <v>0.2</v>
      </c>
      <c r="L78" s="143">
        <v>15000</v>
      </c>
      <c r="M78" s="211" t="s">
        <v>84</v>
      </c>
      <c r="N78" s="143" t="s">
        <v>85</v>
      </c>
      <c r="O78" s="93" t="s">
        <v>86</v>
      </c>
      <c r="P78" s="93" t="s">
        <v>26</v>
      </c>
      <c r="Q78" s="56">
        <v>0.41670000000000001</v>
      </c>
      <c r="R78" s="60" t="s">
        <v>32</v>
      </c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60.75">
      <c r="A79" s="7" t="s">
        <v>288</v>
      </c>
      <c r="B79" s="12" t="s">
        <v>77</v>
      </c>
      <c r="C79" s="9" t="s">
        <v>20</v>
      </c>
      <c r="D79" s="412">
        <v>45180</v>
      </c>
      <c r="E79" s="65" t="s">
        <v>289</v>
      </c>
      <c r="F79" s="208" t="str">
        <f>HYPERLINK(E79,A79)</f>
        <v>Fiesta De La Cerveza</v>
      </c>
      <c r="G79" s="38">
        <v>20</v>
      </c>
      <c r="H79" s="38">
        <v>5</v>
      </c>
      <c r="I79" s="11">
        <v>0.2</v>
      </c>
      <c r="J79" s="11">
        <v>25</v>
      </c>
      <c r="K79" s="11">
        <v>1</v>
      </c>
      <c r="L79" s="143" t="s">
        <v>290</v>
      </c>
      <c r="M79" s="211" t="s">
        <v>126</v>
      </c>
      <c r="N79" s="143" t="s">
        <v>291</v>
      </c>
      <c r="O79" s="93" t="s">
        <v>292</v>
      </c>
      <c r="P79" s="93" t="s">
        <v>26</v>
      </c>
      <c r="Q79" s="56">
        <v>0.39529999999999998</v>
      </c>
      <c r="R79" s="60" t="s">
        <v>43</v>
      </c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>
      <c r="A80" s="7" t="s">
        <v>293</v>
      </c>
      <c r="B80" s="12" t="s">
        <v>77</v>
      </c>
      <c r="C80" s="14" t="s">
        <v>98</v>
      </c>
      <c r="D80" s="412">
        <v>45208</v>
      </c>
      <c r="E80" s="65" t="s">
        <v>294</v>
      </c>
      <c r="F80" s="208" t="str">
        <f>HYPERLINK(E80,A80)</f>
        <v>Fiesta De Mascotas</v>
      </c>
      <c r="G80" s="38">
        <v>9</v>
      </c>
      <c r="H80" s="38">
        <v>3</v>
      </c>
      <c r="I80" s="11">
        <v>0.2</v>
      </c>
      <c r="J80" s="11">
        <v>15</v>
      </c>
      <c r="K80" s="11">
        <v>0.2</v>
      </c>
      <c r="L80" s="143">
        <v>15000</v>
      </c>
      <c r="M80" s="211" t="s">
        <v>84</v>
      </c>
      <c r="N80" s="143" t="s">
        <v>85</v>
      </c>
      <c r="O80" s="93" t="s">
        <v>86</v>
      </c>
      <c r="P80" s="93" t="s">
        <v>26</v>
      </c>
      <c r="Q80" s="56">
        <v>0.3135</v>
      </c>
      <c r="R80" s="60" t="s">
        <v>43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30.75">
      <c r="A81" s="7" t="s">
        <v>295</v>
      </c>
      <c r="B81" s="12" t="s">
        <v>77</v>
      </c>
      <c r="C81" s="14" t="s">
        <v>98</v>
      </c>
      <c r="D81" s="412">
        <v>45719</v>
      </c>
      <c r="E81" s="65" t="s">
        <v>296</v>
      </c>
      <c r="F81" s="208" t="str">
        <f>HYPERLINK(E81,A81)</f>
        <v>Flamenco Pasión</v>
      </c>
      <c r="G81" s="38">
        <v>25</v>
      </c>
      <c r="H81" s="38">
        <v>5</v>
      </c>
      <c r="I81" s="11">
        <v>0.25</v>
      </c>
      <c r="J81" s="11">
        <v>25</v>
      </c>
      <c r="K81" s="11">
        <v>1</v>
      </c>
      <c r="L81" s="143">
        <v>26000</v>
      </c>
      <c r="M81" s="211" t="s">
        <v>297</v>
      </c>
      <c r="N81" s="143" t="s">
        <v>103</v>
      </c>
      <c r="O81" s="93" t="s">
        <v>211</v>
      </c>
      <c r="P81" s="93" t="s">
        <v>26</v>
      </c>
      <c r="Q81" s="56">
        <v>0.19400000000000001</v>
      </c>
      <c r="R81" s="60" t="s">
        <v>32</v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30.75">
      <c r="A82" s="7" t="s">
        <v>298</v>
      </c>
      <c r="B82" s="12" t="s">
        <v>77</v>
      </c>
      <c r="C82" s="9" t="s">
        <v>20</v>
      </c>
      <c r="D82" s="412">
        <v>44536</v>
      </c>
      <c r="E82" s="65" t="s">
        <v>299</v>
      </c>
      <c r="F82" s="208" t="str">
        <f>HYPERLINK(E82,A82)</f>
        <v>Fonsi Nieto Deluxe Racing Life</v>
      </c>
      <c r="G82" s="39">
        <v>10</v>
      </c>
      <c r="H82" s="39">
        <v>5</v>
      </c>
      <c r="I82" s="11">
        <v>0.1</v>
      </c>
      <c r="J82" s="15">
        <v>10</v>
      </c>
      <c r="K82" s="15">
        <v>1</v>
      </c>
      <c r="L82" s="259">
        <v>55000</v>
      </c>
      <c r="M82" s="211" t="s">
        <v>257</v>
      </c>
      <c r="N82" s="143" t="s">
        <v>258</v>
      </c>
      <c r="O82" s="93" t="s">
        <v>300</v>
      </c>
      <c r="P82" s="93" t="s">
        <v>26</v>
      </c>
      <c r="Q82" s="29">
        <v>0.32469999999999999</v>
      </c>
      <c r="R82" s="61" t="s">
        <v>27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>
      <c r="A83" s="7" t="s">
        <v>301</v>
      </c>
      <c r="B83" s="12" t="s">
        <v>77</v>
      </c>
      <c r="C83" s="14" t="s">
        <v>98</v>
      </c>
      <c r="D83" s="412">
        <v>43101</v>
      </c>
      <c r="E83" s="65" t="s">
        <v>302</v>
      </c>
      <c r="F83" s="208" t="str">
        <f>HYPERLINK(E83,A83)</f>
        <v>Galactica</v>
      </c>
      <c r="G83" s="38">
        <v>9</v>
      </c>
      <c r="H83" s="38">
        <v>3</v>
      </c>
      <c r="I83" s="11">
        <v>1</v>
      </c>
      <c r="J83" s="11">
        <v>15</v>
      </c>
      <c r="K83" s="11">
        <v>0.2</v>
      </c>
      <c r="L83" s="143">
        <v>15000</v>
      </c>
      <c r="M83" s="211" t="s">
        <v>169</v>
      </c>
      <c r="N83" s="143" t="s">
        <v>85</v>
      </c>
      <c r="O83" s="93" t="s">
        <v>170</v>
      </c>
      <c r="P83" s="93" t="s">
        <v>26</v>
      </c>
      <c r="Q83" s="56">
        <v>0.3322</v>
      </c>
      <c r="R83" s="60" t="s">
        <v>43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30.75">
      <c r="A84" s="7" t="s">
        <v>303</v>
      </c>
      <c r="B84" s="12" t="s">
        <v>77</v>
      </c>
      <c r="C84" s="9" t="s">
        <v>20</v>
      </c>
      <c r="D84" s="412">
        <v>45103</v>
      </c>
      <c r="E84" s="65" t="s">
        <v>304</v>
      </c>
      <c r="F84" s="208" t="str">
        <f>HYPERLINK(E84,A84)</f>
        <v>Gemma Mengual Capitana Nemo</v>
      </c>
      <c r="G84" s="38">
        <v>10</v>
      </c>
      <c r="H84" s="38">
        <v>5</v>
      </c>
      <c r="I84" s="15">
        <v>0.1</v>
      </c>
      <c r="J84" s="15">
        <v>25</v>
      </c>
      <c r="K84" s="15">
        <v>1</v>
      </c>
      <c r="L84" s="259">
        <v>37750</v>
      </c>
      <c r="M84" s="211" t="s">
        <v>305</v>
      </c>
      <c r="N84" s="143" t="s">
        <v>306</v>
      </c>
      <c r="O84" s="93" t="s">
        <v>307</v>
      </c>
      <c r="P84" s="93" t="s">
        <v>26</v>
      </c>
      <c r="Q84" s="56">
        <v>0.32469999999999999</v>
      </c>
      <c r="R84" s="60" t="s">
        <v>27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30.75">
      <c r="A85" s="7" t="s">
        <v>308</v>
      </c>
      <c r="B85" s="12" t="s">
        <v>77</v>
      </c>
      <c r="C85" s="9" t="s">
        <v>20</v>
      </c>
      <c r="D85" s="412">
        <v>45441</v>
      </c>
      <c r="E85" s="65" t="s">
        <v>309</v>
      </c>
      <c r="F85" s="208" t="str">
        <f>HYPERLINK(E85,A85)</f>
        <v>Giro Estelar</v>
      </c>
      <c r="G85" s="38">
        <v>25</v>
      </c>
      <c r="H85" s="38">
        <v>5</v>
      </c>
      <c r="I85" s="11">
        <v>0.25</v>
      </c>
      <c r="J85" s="11">
        <v>25</v>
      </c>
      <c r="K85" s="11">
        <v>2.5</v>
      </c>
      <c r="L85" s="143">
        <v>28500</v>
      </c>
      <c r="M85" s="211" t="s">
        <v>102</v>
      </c>
      <c r="N85" s="143" t="s">
        <v>310</v>
      </c>
      <c r="O85" s="93" t="s">
        <v>311</v>
      </c>
      <c r="P85" s="93" t="s">
        <v>26</v>
      </c>
      <c r="Q85" s="56">
        <v>0.50760000000000005</v>
      </c>
      <c r="R85" s="60" t="s">
        <v>43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15.75">
      <c r="A86" s="18" t="s">
        <v>312</v>
      </c>
      <c r="B86" s="12" t="s">
        <v>77</v>
      </c>
      <c r="C86" s="9" t="s">
        <v>20</v>
      </c>
      <c r="D86" s="412">
        <v>44711</v>
      </c>
      <c r="E86" s="65" t="s">
        <v>313</v>
      </c>
      <c r="F86" s="208" t="str">
        <f>HYPERLINK(E86,A86)</f>
        <v>Gnomos Mix</v>
      </c>
      <c r="G86" s="38">
        <v>9</v>
      </c>
      <c r="H86" s="38">
        <v>3</v>
      </c>
      <c r="I86" s="11">
        <v>0.2</v>
      </c>
      <c r="J86" s="11">
        <v>15</v>
      </c>
      <c r="K86" s="11">
        <v>0.2</v>
      </c>
      <c r="L86" s="143">
        <v>15000</v>
      </c>
      <c r="M86" s="211" t="s">
        <v>314</v>
      </c>
      <c r="N86" s="143" t="s">
        <v>85</v>
      </c>
      <c r="O86" s="93" t="s">
        <v>86</v>
      </c>
      <c r="P86" s="93" t="s">
        <v>26</v>
      </c>
      <c r="Q86" s="56">
        <v>0.31380000000000002</v>
      </c>
      <c r="R86" s="60" t="s">
        <v>43</v>
      </c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>
      <c r="A87" s="7" t="s">
        <v>315</v>
      </c>
      <c r="B87" s="12" t="s">
        <v>77</v>
      </c>
      <c r="C87" s="9" t="s">
        <v>20</v>
      </c>
      <c r="D87" s="412">
        <v>45624</v>
      </c>
      <c r="E87" s="65" t="s">
        <v>316</v>
      </c>
      <c r="F87" s="208" t="str">
        <f>HYPERLINK(E87,A87)</f>
        <v>Gnomos Mix Golden Edition</v>
      </c>
      <c r="G87" s="38">
        <v>9</v>
      </c>
      <c r="H87" s="38">
        <v>3</v>
      </c>
      <c r="I87" s="11">
        <v>0.2</v>
      </c>
      <c r="J87" s="11">
        <v>15</v>
      </c>
      <c r="K87" s="11">
        <v>0.2</v>
      </c>
      <c r="L87" s="143">
        <v>15000</v>
      </c>
      <c r="M87" s="211" t="s">
        <v>84</v>
      </c>
      <c r="N87" s="143" t="s">
        <v>85</v>
      </c>
      <c r="O87" s="93" t="s">
        <v>86</v>
      </c>
      <c r="P87" s="93" t="s">
        <v>26</v>
      </c>
      <c r="Q87" s="56">
        <v>0.39889999999999998</v>
      </c>
      <c r="R87" s="60" t="s">
        <v>27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30.75">
      <c r="A88" s="7" t="s">
        <v>317</v>
      </c>
      <c r="B88" s="12" t="s">
        <v>77</v>
      </c>
      <c r="C88" s="9" t="s">
        <v>20</v>
      </c>
      <c r="D88" s="412">
        <v>43636</v>
      </c>
      <c r="E88" s="65" t="s">
        <v>318</v>
      </c>
      <c r="F88" s="208" t="str">
        <f>HYPERLINK(E88,A88)</f>
        <v>Gold Mermaid By Renata Gonzalez</v>
      </c>
      <c r="G88" s="38">
        <v>10</v>
      </c>
      <c r="H88" s="38">
        <v>5</v>
      </c>
      <c r="I88" s="11">
        <v>0.1</v>
      </c>
      <c r="J88" s="11">
        <v>10</v>
      </c>
      <c r="K88" s="11">
        <v>1</v>
      </c>
      <c r="L88" s="143">
        <v>55000</v>
      </c>
      <c r="M88" s="211" t="s">
        <v>257</v>
      </c>
      <c r="N88" s="143" t="s">
        <v>258</v>
      </c>
      <c r="O88" s="93" t="s">
        <v>271</v>
      </c>
      <c r="P88" s="93" t="s">
        <v>26</v>
      </c>
      <c r="Q88" s="56">
        <v>0.32469999999999999</v>
      </c>
      <c r="R88" s="60" t="s">
        <v>27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30.75">
      <c r="A89" s="7" t="s">
        <v>319</v>
      </c>
      <c r="B89" s="12" t="s">
        <v>77</v>
      </c>
      <c r="C89" s="9" t="s">
        <v>20</v>
      </c>
      <c r="D89" s="412">
        <v>43706</v>
      </c>
      <c r="E89" s="65" t="s">
        <v>320</v>
      </c>
      <c r="F89" s="208" t="str">
        <f>HYPERLINK(E89,A89)</f>
        <v>Gt World Challenge By Andy Soucek</v>
      </c>
      <c r="G89" s="38">
        <v>10</v>
      </c>
      <c r="H89" s="38">
        <v>5</v>
      </c>
      <c r="I89" s="11">
        <v>0.1</v>
      </c>
      <c r="J89" s="11">
        <v>25</v>
      </c>
      <c r="K89" s="11">
        <v>1</v>
      </c>
      <c r="L89" s="143">
        <v>12500</v>
      </c>
      <c r="M89" s="211" t="s">
        <v>305</v>
      </c>
      <c r="N89" s="143" t="s">
        <v>144</v>
      </c>
      <c r="O89" s="93" t="s">
        <v>321</v>
      </c>
      <c r="P89" s="93" t="s">
        <v>26</v>
      </c>
      <c r="Q89" s="56">
        <v>0.22120000000000001</v>
      </c>
      <c r="R89" s="60" t="s">
        <v>32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>
      <c r="A90" s="7" t="s">
        <v>322</v>
      </c>
      <c r="B90" s="12" t="s">
        <v>77</v>
      </c>
      <c r="C90" s="9" t="s">
        <v>20</v>
      </c>
      <c r="D90" s="412">
        <v>44620</v>
      </c>
      <c r="E90" s="65" t="s">
        <v>323</v>
      </c>
      <c r="F90" s="208" t="str">
        <f>HYPERLINK(E90,A90)</f>
        <v>Hawaii 5-0</v>
      </c>
      <c r="G90" s="38">
        <v>9</v>
      </c>
      <c r="H90" s="38">
        <v>3</v>
      </c>
      <c r="I90" s="11">
        <v>0.2</v>
      </c>
      <c r="J90" s="11">
        <v>15</v>
      </c>
      <c r="K90" s="11">
        <v>0.2</v>
      </c>
      <c r="L90" s="143">
        <v>15000</v>
      </c>
      <c r="M90" s="211" t="s">
        <v>84</v>
      </c>
      <c r="N90" s="143" t="s">
        <v>85</v>
      </c>
      <c r="O90" s="93" t="s">
        <v>86</v>
      </c>
      <c r="P90" s="93" t="s">
        <v>26</v>
      </c>
      <c r="Q90" s="56">
        <v>0.2591</v>
      </c>
      <c r="R90" s="60" t="s">
        <v>43</v>
      </c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>
      <c r="A91" s="7" t="s">
        <v>324</v>
      </c>
      <c r="B91" s="12" t="s">
        <v>77</v>
      </c>
      <c r="C91" s="14" t="s">
        <v>98</v>
      </c>
      <c r="D91" s="412">
        <v>45377</v>
      </c>
      <c r="E91" s="65" t="s">
        <v>325</v>
      </c>
      <c r="F91" s="208" t="str">
        <f>HYPERLINK(E91,A91)</f>
        <v>Huevos De Pascua Magicos</v>
      </c>
      <c r="G91" s="38">
        <v>9</v>
      </c>
      <c r="H91" s="38">
        <v>3</v>
      </c>
      <c r="I91" s="11">
        <v>0.2</v>
      </c>
      <c r="J91" s="11">
        <v>15</v>
      </c>
      <c r="K91" s="11">
        <v>0.2</v>
      </c>
      <c r="L91" s="143">
        <v>15000</v>
      </c>
      <c r="M91" s="211" t="s">
        <v>84</v>
      </c>
      <c r="N91" s="143" t="s">
        <v>85</v>
      </c>
      <c r="O91" s="93" t="s">
        <v>86</v>
      </c>
      <c r="P91" s="93" t="s">
        <v>26</v>
      </c>
      <c r="Q91" s="56">
        <v>0.30520000000000003</v>
      </c>
      <c r="R91" s="60" t="s">
        <v>27</v>
      </c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>
      <c r="A92" s="7" t="s">
        <v>326</v>
      </c>
      <c r="B92" s="12" t="s">
        <v>77</v>
      </c>
      <c r="C92" s="14" t="s">
        <v>98</v>
      </c>
      <c r="D92" s="412">
        <v>45594</v>
      </c>
      <c r="E92" s="65" t="s">
        <v>327</v>
      </c>
      <c r="F92" s="208" t="str">
        <f>HYPERLINK(E92,A92)</f>
        <v>Invasión Zombi</v>
      </c>
      <c r="G92" s="38">
        <v>25</v>
      </c>
      <c r="H92" s="38">
        <v>5</v>
      </c>
      <c r="I92" s="11">
        <v>0.25</v>
      </c>
      <c r="J92" s="11">
        <v>25</v>
      </c>
      <c r="K92" s="11">
        <v>0.2</v>
      </c>
      <c r="L92" s="143">
        <v>28500</v>
      </c>
      <c r="M92" s="211" t="s">
        <v>84</v>
      </c>
      <c r="N92" s="143" t="s">
        <v>310</v>
      </c>
      <c r="O92" s="93" t="s">
        <v>328</v>
      </c>
      <c r="P92" s="93" t="s">
        <v>26</v>
      </c>
      <c r="Q92" s="56">
        <v>0.1973</v>
      </c>
      <c r="R92" s="60" t="s">
        <v>43</v>
      </c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>
      <c r="A93" s="374" t="s">
        <v>329</v>
      </c>
      <c r="B93" s="12" t="s">
        <v>77</v>
      </c>
      <c r="C93" s="366" t="s">
        <v>98</v>
      </c>
      <c r="D93" s="426">
        <v>46050</v>
      </c>
      <c r="E93" s="427" t="s">
        <v>330</v>
      </c>
      <c r="F93" s="367" t="s">
        <v>331</v>
      </c>
      <c r="G93" s="368">
        <v>9</v>
      </c>
      <c r="H93" s="368">
        <v>3</v>
      </c>
      <c r="I93" s="368" t="s">
        <v>52</v>
      </c>
      <c r="J93" s="368" t="s">
        <v>135</v>
      </c>
      <c r="K93" s="368" t="s">
        <v>52</v>
      </c>
      <c r="L93" s="368" t="s">
        <v>136</v>
      </c>
      <c r="M93" s="368" t="s">
        <v>137</v>
      </c>
      <c r="N93" s="368" t="s">
        <v>138</v>
      </c>
      <c r="O93" s="368" t="s">
        <v>139</v>
      </c>
      <c r="P93" s="368" t="s">
        <v>26</v>
      </c>
      <c r="Q93" s="368" t="s">
        <v>332</v>
      </c>
      <c r="R93" s="369" t="s">
        <v>27</v>
      </c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>
      <c r="A94" s="13" t="s">
        <v>333</v>
      </c>
      <c r="B94" s="12" t="s">
        <v>77</v>
      </c>
      <c r="C94" s="9" t="s">
        <v>20</v>
      </c>
      <c r="D94" s="412">
        <v>44123</v>
      </c>
      <c r="E94" s="65" t="s">
        <v>334</v>
      </c>
      <c r="F94" s="208" t="str">
        <f>HYPERLINK(E94,A94)</f>
        <v>Ismael Beiro</v>
      </c>
      <c r="G94" s="38">
        <v>9</v>
      </c>
      <c r="H94" s="38">
        <v>3</v>
      </c>
      <c r="I94" s="11">
        <v>0.2</v>
      </c>
      <c r="J94" s="11">
        <v>10</v>
      </c>
      <c r="K94" s="11">
        <v>0.2</v>
      </c>
      <c r="L94" s="143">
        <v>10000</v>
      </c>
      <c r="M94" s="211" t="s">
        <v>93</v>
      </c>
      <c r="N94" s="143" t="s">
        <v>85</v>
      </c>
      <c r="O94" s="93" t="s">
        <v>86</v>
      </c>
      <c r="P94" s="93" t="s">
        <v>26</v>
      </c>
      <c r="Q94" s="29">
        <v>0.3125</v>
      </c>
      <c r="R94" s="61" t="s">
        <v>43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60.75">
      <c r="A95" s="7" t="s">
        <v>335</v>
      </c>
      <c r="B95" s="12" t="s">
        <v>77</v>
      </c>
      <c r="C95" s="9" t="s">
        <v>20</v>
      </c>
      <c r="D95" s="412">
        <v>43962</v>
      </c>
      <c r="E95" s="423" t="s">
        <v>336</v>
      </c>
      <c r="F95" s="208" t="str">
        <f>HYPERLINK(E95,A95)</f>
        <v>Jessica Weaver Queen Of The Seas</v>
      </c>
      <c r="G95" s="38">
        <v>25</v>
      </c>
      <c r="H95" s="38">
        <v>5</v>
      </c>
      <c r="I95" s="11">
        <v>0.25</v>
      </c>
      <c r="J95" s="11">
        <v>25</v>
      </c>
      <c r="K95" s="11">
        <v>2.5</v>
      </c>
      <c r="L95" s="143" t="s">
        <v>337</v>
      </c>
      <c r="M95" s="211" t="s">
        <v>102</v>
      </c>
      <c r="N95" s="143" t="s">
        <v>338</v>
      </c>
      <c r="O95" s="93" t="s">
        <v>339</v>
      </c>
      <c r="P95" s="93" t="s">
        <v>26</v>
      </c>
      <c r="Q95" s="56">
        <v>0.4032</v>
      </c>
      <c r="R95" s="60" t="s">
        <v>32</v>
      </c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>
      <c r="A96" s="7" t="s">
        <v>340</v>
      </c>
      <c r="B96" s="12" t="s">
        <v>77</v>
      </c>
      <c r="C96" s="9" t="s">
        <v>20</v>
      </c>
      <c r="D96" s="412">
        <v>44907</v>
      </c>
      <c r="E96" s="65" t="s">
        <v>341</v>
      </c>
      <c r="F96" s="208" t="str">
        <f>HYPERLINK(E96,A96)</f>
        <v>Juan Muñoz</v>
      </c>
      <c r="G96" s="38">
        <v>9</v>
      </c>
      <c r="H96" s="38">
        <v>3</v>
      </c>
      <c r="I96" s="11">
        <v>0.2</v>
      </c>
      <c r="J96" s="11">
        <v>15</v>
      </c>
      <c r="K96" s="11">
        <v>0.2</v>
      </c>
      <c r="L96" s="143">
        <v>15000</v>
      </c>
      <c r="M96" s="211" t="s">
        <v>84</v>
      </c>
      <c r="N96" s="143" t="s">
        <v>85</v>
      </c>
      <c r="O96" s="93" t="s">
        <v>86</v>
      </c>
      <c r="P96" s="93" t="s">
        <v>26</v>
      </c>
      <c r="Q96" s="56">
        <v>0.33210000000000001</v>
      </c>
      <c r="R96" s="60" t="s">
        <v>43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>
      <c r="A97" s="7" t="s">
        <v>342</v>
      </c>
      <c r="B97" s="12" t="s">
        <v>77</v>
      </c>
      <c r="C97" s="9" t="s">
        <v>20</v>
      </c>
      <c r="D97" s="412">
        <v>44529</v>
      </c>
      <c r="E97" s="65" t="s">
        <v>343</v>
      </c>
      <c r="F97" s="208" t="str">
        <f>HYPERLINK(E97,A97)</f>
        <v>King Africa</v>
      </c>
      <c r="G97" s="38">
        <v>9</v>
      </c>
      <c r="H97" s="38">
        <v>3</v>
      </c>
      <c r="I97" s="11">
        <v>0.2</v>
      </c>
      <c r="J97" s="11">
        <v>15</v>
      </c>
      <c r="K97" s="11">
        <v>0.2</v>
      </c>
      <c r="L97" s="143">
        <v>15000</v>
      </c>
      <c r="M97" s="211" t="s">
        <v>84</v>
      </c>
      <c r="N97" s="143" t="s">
        <v>85</v>
      </c>
      <c r="O97" s="93" t="s">
        <v>86</v>
      </c>
      <c r="P97" s="93" t="s">
        <v>26</v>
      </c>
      <c r="Q97" s="56">
        <v>0.43099999999999999</v>
      </c>
      <c r="R97" s="60" t="s">
        <v>32</v>
      </c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>
      <c r="A98" s="7" t="s">
        <v>344</v>
      </c>
      <c r="B98" s="12" t="s">
        <v>77</v>
      </c>
      <c r="C98" s="14" t="s">
        <v>98</v>
      </c>
      <c r="D98" s="412">
        <v>43101</v>
      </c>
      <c r="E98" s="65" t="s">
        <v>345</v>
      </c>
      <c r="F98" s="208" t="str">
        <f>HYPERLINK(E98,A98)</f>
        <v>La Bruja Fortuna</v>
      </c>
      <c r="G98" s="38">
        <v>9</v>
      </c>
      <c r="H98" s="38">
        <v>3</v>
      </c>
      <c r="I98" s="11">
        <v>1</v>
      </c>
      <c r="J98" s="11">
        <v>5</v>
      </c>
      <c r="K98" s="11">
        <v>1</v>
      </c>
      <c r="L98" s="143">
        <v>5000</v>
      </c>
      <c r="M98" s="421" t="s">
        <v>267</v>
      </c>
      <c r="N98" s="143" t="s">
        <v>85</v>
      </c>
      <c r="O98" s="422">
        <v>0.9</v>
      </c>
      <c r="P98" s="422" t="s">
        <v>26</v>
      </c>
      <c r="Q98" s="56">
        <v>0.17730000000000001</v>
      </c>
      <c r="R98" s="60" t="s">
        <v>43</v>
      </c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30.75">
      <c r="A99" s="7" t="s">
        <v>346</v>
      </c>
      <c r="B99" s="12" t="s">
        <v>77</v>
      </c>
      <c r="C99" s="14" t="s">
        <v>98</v>
      </c>
      <c r="D99" s="412">
        <v>45222</v>
      </c>
      <c r="E99" s="65" t="s">
        <v>347</v>
      </c>
      <c r="F99" s="208" t="str">
        <f>HYPERLINK(E99,A99)</f>
        <v>La Diosa Waikiki</v>
      </c>
      <c r="G99" s="38">
        <v>10</v>
      </c>
      <c r="H99" s="38">
        <v>5</v>
      </c>
      <c r="I99" s="15">
        <v>0.1</v>
      </c>
      <c r="J99" s="15">
        <v>25</v>
      </c>
      <c r="K99" s="15">
        <v>1</v>
      </c>
      <c r="L99" s="259">
        <v>26800</v>
      </c>
      <c r="M99" s="211" t="s">
        <v>305</v>
      </c>
      <c r="N99" s="143" t="s">
        <v>348</v>
      </c>
      <c r="O99" s="93" t="s">
        <v>307</v>
      </c>
      <c r="P99" s="93" t="s">
        <v>26</v>
      </c>
      <c r="Q99" s="56">
        <v>0.32469999999999999</v>
      </c>
      <c r="R99" s="60" t="s">
        <v>32</v>
      </c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>
      <c r="A100" s="7" t="s">
        <v>349</v>
      </c>
      <c r="B100" s="12" t="s">
        <v>77</v>
      </c>
      <c r="C100" s="14" t="s">
        <v>98</v>
      </c>
      <c r="D100" s="412">
        <v>43497</v>
      </c>
      <c r="E100" s="65" t="s">
        <v>350</v>
      </c>
      <c r="F100" s="208" t="str">
        <f>HYPERLINK(E100,A100)</f>
        <v>La Fortuna Del Lejano Oeste</v>
      </c>
      <c r="G100" s="38">
        <v>9</v>
      </c>
      <c r="H100" s="38">
        <v>3</v>
      </c>
      <c r="I100" s="11">
        <v>0.2</v>
      </c>
      <c r="J100" s="11">
        <v>15</v>
      </c>
      <c r="K100" s="11">
        <v>1</v>
      </c>
      <c r="L100" s="143">
        <v>15000</v>
      </c>
      <c r="M100" s="211" t="s">
        <v>84</v>
      </c>
      <c r="N100" s="143" t="s">
        <v>85</v>
      </c>
      <c r="O100" s="93" t="s">
        <v>86</v>
      </c>
      <c r="P100" s="93" t="s">
        <v>26</v>
      </c>
      <c r="Q100" s="56">
        <v>0.3135</v>
      </c>
      <c r="R100" s="60" t="s">
        <v>43</v>
      </c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>
      <c r="A101" s="7" t="s">
        <v>351</v>
      </c>
      <c r="B101" s="12" t="s">
        <v>77</v>
      </c>
      <c r="C101" s="14" t="s">
        <v>98</v>
      </c>
      <c r="D101" s="412">
        <v>43101</v>
      </c>
      <c r="E101" s="65" t="s">
        <v>352</v>
      </c>
      <c r="F101" s="208" t="str">
        <f>HYPERLINK(E101,A101)</f>
        <v>La Furgo Hippy</v>
      </c>
      <c r="G101" s="38">
        <v>9</v>
      </c>
      <c r="H101" s="38">
        <v>3</v>
      </c>
      <c r="I101" s="11">
        <v>1</v>
      </c>
      <c r="J101" s="11">
        <v>3</v>
      </c>
      <c r="K101" s="11">
        <v>1</v>
      </c>
      <c r="L101" s="143">
        <v>3000</v>
      </c>
      <c r="M101" s="421" t="s">
        <v>267</v>
      </c>
      <c r="N101" s="143" t="s">
        <v>85</v>
      </c>
      <c r="O101" s="422">
        <v>0.9</v>
      </c>
      <c r="P101" s="422" t="s">
        <v>26</v>
      </c>
      <c r="Q101" s="56">
        <v>0.2646</v>
      </c>
      <c r="R101" s="60" t="s">
        <v>43</v>
      </c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60.75">
      <c r="A102" s="7" t="s">
        <v>353</v>
      </c>
      <c r="B102" s="12" t="s">
        <v>77</v>
      </c>
      <c r="C102" s="14" t="s">
        <v>98</v>
      </c>
      <c r="D102" s="412">
        <v>45349</v>
      </c>
      <c r="E102" s="65" t="s">
        <v>354</v>
      </c>
      <c r="F102" s="208" t="str">
        <f>HYPERLINK(E102,A102)</f>
        <v>La Gran Corona Del Rey</v>
      </c>
      <c r="G102" s="38">
        <v>25</v>
      </c>
      <c r="H102" s="38">
        <v>5</v>
      </c>
      <c r="I102" s="11">
        <v>0.5</v>
      </c>
      <c r="J102" s="11">
        <v>50</v>
      </c>
      <c r="K102" s="11">
        <v>2.5</v>
      </c>
      <c r="L102" s="143" t="s">
        <v>355</v>
      </c>
      <c r="M102" s="211" t="s">
        <v>356</v>
      </c>
      <c r="N102" s="143" t="s">
        <v>357</v>
      </c>
      <c r="O102" s="93" t="s">
        <v>358</v>
      </c>
      <c r="P102" s="93" t="s">
        <v>26</v>
      </c>
      <c r="Q102" s="56">
        <v>0.4032</v>
      </c>
      <c r="R102" s="60" t="s">
        <v>32</v>
      </c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>
      <c r="A103" s="7" t="s">
        <v>359</v>
      </c>
      <c r="B103" s="12" t="s">
        <v>77</v>
      </c>
      <c r="C103" s="14" t="s">
        <v>98</v>
      </c>
      <c r="D103" s="412">
        <v>45131</v>
      </c>
      <c r="E103" s="65" t="s">
        <v>360</v>
      </c>
      <c r="F103" s="208" t="str">
        <f>HYPERLINK(E103,A103)</f>
        <v>La Joya Del Caribe</v>
      </c>
      <c r="G103" s="38">
        <v>9</v>
      </c>
      <c r="H103" s="38">
        <v>3</v>
      </c>
      <c r="I103" s="11">
        <v>0.2</v>
      </c>
      <c r="J103" s="11">
        <v>10</v>
      </c>
      <c r="K103" s="11">
        <v>0.2</v>
      </c>
      <c r="L103" s="143">
        <v>10000</v>
      </c>
      <c r="M103" s="211" t="s">
        <v>361</v>
      </c>
      <c r="N103" s="143" t="s">
        <v>85</v>
      </c>
      <c r="O103" s="93" t="s">
        <v>86</v>
      </c>
      <c r="P103" s="93" t="s">
        <v>26</v>
      </c>
      <c r="Q103" s="56">
        <v>0.27210000000000001</v>
      </c>
      <c r="R103" s="60" t="s">
        <v>27</v>
      </c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>
      <c r="A104" s="7" t="s">
        <v>362</v>
      </c>
      <c r="B104" s="12" t="s">
        <v>77</v>
      </c>
      <c r="C104" s="14" t="s">
        <v>98</v>
      </c>
      <c r="D104" s="412">
        <v>45257</v>
      </c>
      <c r="E104" s="65" t="s">
        <v>363</v>
      </c>
      <c r="F104" s="208" t="str">
        <f>HYPERLINK(E104,A104)</f>
        <v>La Leyenda Del Dragon</v>
      </c>
      <c r="G104" s="38">
        <v>9</v>
      </c>
      <c r="H104" s="38">
        <v>3</v>
      </c>
      <c r="I104" s="11">
        <v>0.2</v>
      </c>
      <c r="J104" s="11">
        <v>15</v>
      </c>
      <c r="K104" s="11">
        <v>0.2</v>
      </c>
      <c r="L104" s="143">
        <v>15000</v>
      </c>
      <c r="M104" s="211" t="s">
        <v>84</v>
      </c>
      <c r="N104" s="143" t="s">
        <v>85</v>
      </c>
      <c r="O104" s="93" t="s">
        <v>86</v>
      </c>
      <c r="P104" s="93" t="s">
        <v>26</v>
      </c>
      <c r="Q104" s="56">
        <v>0.28120000000000001</v>
      </c>
      <c r="R104" s="60" t="s">
        <v>27</v>
      </c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>
      <c r="A105" s="7" t="s">
        <v>364</v>
      </c>
      <c r="B105" s="12" t="s">
        <v>77</v>
      </c>
      <c r="C105" s="14" t="s">
        <v>98</v>
      </c>
      <c r="D105" s="412">
        <v>43101</v>
      </c>
      <c r="E105" s="65" t="s">
        <v>365</v>
      </c>
      <c r="F105" s="208" t="str">
        <f>HYPERLINK(E105,A105)</f>
        <v>La Mansion Encantada</v>
      </c>
      <c r="G105" s="38">
        <v>9</v>
      </c>
      <c r="H105" s="38">
        <v>3</v>
      </c>
      <c r="I105" s="11">
        <v>0.2</v>
      </c>
      <c r="J105" s="11">
        <v>15</v>
      </c>
      <c r="K105" s="11">
        <v>1</v>
      </c>
      <c r="L105" s="143">
        <v>15000</v>
      </c>
      <c r="M105" s="211" t="s">
        <v>84</v>
      </c>
      <c r="N105" s="143" t="s">
        <v>85</v>
      </c>
      <c r="O105" s="93" t="s">
        <v>86</v>
      </c>
      <c r="P105" s="93" t="s">
        <v>26</v>
      </c>
      <c r="Q105" s="56">
        <v>0.3145</v>
      </c>
      <c r="R105" s="60" t="s">
        <v>43</v>
      </c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>
      <c r="A106" s="381" t="s">
        <v>366</v>
      </c>
      <c r="B106" s="12" t="s">
        <v>77</v>
      </c>
      <c r="C106" s="329" t="s">
        <v>98</v>
      </c>
      <c r="D106" s="406">
        <v>46170</v>
      </c>
      <c r="E106" s="363" t="s">
        <v>367</v>
      </c>
      <c r="F106" s="349" t="s">
        <v>366</v>
      </c>
      <c r="G106" s="334">
        <v>10</v>
      </c>
      <c r="H106" s="334">
        <v>5</v>
      </c>
      <c r="I106" s="364">
        <v>0.1</v>
      </c>
      <c r="J106" s="364">
        <v>20</v>
      </c>
      <c r="K106" s="364">
        <v>1</v>
      </c>
      <c r="L106" s="364">
        <v>42000</v>
      </c>
      <c r="M106" s="334" t="s">
        <v>107</v>
      </c>
      <c r="N106" s="334" t="s">
        <v>247</v>
      </c>
      <c r="O106" s="334" t="s">
        <v>368</v>
      </c>
      <c r="P106" s="334" t="s">
        <v>26</v>
      </c>
      <c r="Q106" s="334" t="s">
        <v>369</v>
      </c>
      <c r="R106" s="339" t="s">
        <v>43</v>
      </c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>
      <c r="A107" s="7" t="s">
        <v>370</v>
      </c>
      <c r="B107" s="12" t="s">
        <v>77</v>
      </c>
      <c r="C107" s="9" t="s">
        <v>20</v>
      </c>
      <c r="D107" s="412">
        <v>43497</v>
      </c>
      <c r="E107" s="65" t="s">
        <v>371</v>
      </c>
      <c r="F107" s="208" t="str">
        <f>HYPERLINK(E107,A107)</f>
        <v>La Mina De Oro</v>
      </c>
      <c r="G107" s="38">
        <v>9</v>
      </c>
      <c r="H107" s="38">
        <v>3</v>
      </c>
      <c r="I107" s="11">
        <v>0.2</v>
      </c>
      <c r="J107" s="11">
        <v>1</v>
      </c>
      <c r="K107" s="11">
        <v>1</v>
      </c>
      <c r="L107" s="143">
        <v>600</v>
      </c>
      <c r="M107" s="421" t="s">
        <v>143</v>
      </c>
      <c r="N107" s="143" t="s">
        <v>264</v>
      </c>
      <c r="O107" s="422">
        <v>0.9</v>
      </c>
      <c r="P107" s="422" t="s">
        <v>26</v>
      </c>
      <c r="Q107" s="56">
        <v>0.20369999999999999</v>
      </c>
      <c r="R107" s="60" t="s">
        <v>43</v>
      </c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>
      <c r="A108" s="7" t="s">
        <v>372</v>
      </c>
      <c r="B108" s="12" t="s">
        <v>77</v>
      </c>
      <c r="C108" s="9" t="s">
        <v>20</v>
      </c>
      <c r="D108" s="412">
        <v>45532</v>
      </c>
      <c r="E108" s="65" t="s">
        <v>373</v>
      </c>
      <c r="F108" s="208" t="str">
        <f>HYPERLINK(E108,A108)</f>
        <v>La Mina De Oro Golden Edition</v>
      </c>
      <c r="G108" s="38">
        <v>9</v>
      </c>
      <c r="H108" s="38">
        <v>3</v>
      </c>
      <c r="I108" s="11">
        <v>0.2</v>
      </c>
      <c r="J108" s="11">
        <v>15</v>
      </c>
      <c r="K108" s="11">
        <v>0.2</v>
      </c>
      <c r="L108" s="143">
        <v>20000</v>
      </c>
      <c r="M108" s="211" t="s">
        <v>314</v>
      </c>
      <c r="N108" s="143" t="s">
        <v>374</v>
      </c>
      <c r="O108" s="93" t="s">
        <v>86</v>
      </c>
      <c r="P108" s="93" t="s">
        <v>26</v>
      </c>
      <c r="Q108" s="56">
        <v>0.2331</v>
      </c>
      <c r="R108" s="60" t="s">
        <v>27</v>
      </c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>
      <c r="A109" s="7" t="s">
        <v>375</v>
      </c>
      <c r="B109" s="12" t="s">
        <v>77</v>
      </c>
      <c r="C109" s="9" t="s">
        <v>20</v>
      </c>
      <c r="D109" s="412">
        <v>43948</v>
      </c>
      <c r="E109" s="65" t="s">
        <v>376</v>
      </c>
      <c r="F109" s="208" t="str">
        <f>HYPERLINK(E109,A109)</f>
        <v>La Mina De Oro Plus</v>
      </c>
      <c r="G109" s="38">
        <v>9</v>
      </c>
      <c r="H109" s="38">
        <v>3</v>
      </c>
      <c r="I109" s="11">
        <v>0.2</v>
      </c>
      <c r="J109" s="11">
        <v>15</v>
      </c>
      <c r="K109" s="11">
        <v>0.2</v>
      </c>
      <c r="L109" s="143">
        <v>15000</v>
      </c>
      <c r="M109" s="211" t="s">
        <v>84</v>
      </c>
      <c r="N109" s="143" t="s">
        <v>85</v>
      </c>
      <c r="O109" s="93" t="s">
        <v>86</v>
      </c>
      <c r="P109" s="93" t="s">
        <v>26</v>
      </c>
      <c r="Q109" s="56">
        <v>0.3145</v>
      </c>
      <c r="R109" s="60" t="s">
        <v>43</v>
      </c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>
      <c r="A110" s="7" t="s">
        <v>377</v>
      </c>
      <c r="B110" s="12" t="s">
        <v>77</v>
      </c>
      <c r="C110" s="9" t="s">
        <v>20</v>
      </c>
      <c r="D110" s="412">
        <v>45215</v>
      </c>
      <c r="E110" s="65" t="s">
        <v>378</v>
      </c>
      <c r="F110" s="208" t="str">
        <f>HYPERLINK(E110,A110)</f>
        <v>La Mina De Oro Plus Halloween</v>
      </c>
      <c r="G110" s="38">
        <v>9</v>
      </c>
      <c r="H110" s="38">
        <v>3</v>
      </c>
      <c r="I110" s="11">
        <v>0.2</v>
      </c>
      <c r="J110" s="11">
        <v>15</v>
      </c>
      <c r="K110" s="11">
        <v>0.2</v>
      </c>
      <c r="L110" s="143">
        <v>15000</v>
      </c>
      <c r="M110" s="211" t="s">
        <v>84</v>
      </c>
      <c r="N110" s="143" t="s">
        <v>85</v>
      </c>
      <c r="O110" s="93" t="s">
        <v>86</v>
      </c>
      <c r="P110" s="93" t="s">
        <v>26</v>
      </c>
      <c r="Q110" s="56">
        <v>0.2331</v>
      </c>
      <c r="R110" s="60" t="s">
        <v>27</v>
      </c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>
      <c r="A111" s="7" t="s">
        <v>379</v>
      </c>
      <c r="B111" s="12" t="s">
        <v>77</v>
      </c>
      <c r="C111" s="9" t="s">
        <v>20</v>
      </c>
      <c r="D111" s="412">
        <v>45271</v>
      </c>
      <c r="E111" s="65" t="s">
        <v>380</v>
      </c>
      <c r="F111" s="208" t="str">
        <f>HYPERLINK(E111,A111)</f>
        <v>La Mina De Oro Plus Navidad</v>
      </c>
      <c r="G111" s="38">
        <v>9</v>
      </c>
      <c r="H111" s="38">
        <v>3</v>
      </c>
      <c r="I111" s="11">
        <v>0.2</v>
      </c>
      <c r="J111" s="11">
        <v>15</v>
      </c>
      <c r="K111" s="11">
        <v>0.2</v>
      </c>
      <c r="L111" s="143">
        <v>15000</v>
      </c>
      <c r="M111" s="211" t="s">
        <v>84</v>
      </c>
      <c r="N111" s="143" t="s">
        <v>85</v>
      </c>
      <c r="O111" s="93" t="s">
        <v>86</v>
      </c>
      <c r="P111" s="93" t="s">
        <v>26</v>
      </c>
      <c r="Q111" s="56">
        <v>0.2331</v>
      </c>
      <c r="R111" s="60" t="s">
        <v>27</v>
      </c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>
      <c r="A112" s="7" t="s">
        <v>381</v>
      </c>
      <c r="B112" s="12" t="s">
        <v>77</v>
      </c>
      <c r="C112" s="14" t="s">
        <v>98</v>
      </c>
      <c r="D112" s="412">
        <v>43101</v>
      </c>
      <c r="E112" s="65" t="s">
        <v>382</v>
      </c>
      <c r="F112" s="208" t="str">
        <f>HYPERLINK(E112,A112)</f>
        <v>La Reina Del Nilo</v>
      </c>
      <c r="G112" s="38">
        <v>9</v>
      </c>
      <c r="H112" s="38">
        <v>3</v>
      </c>
      <c r="I112" s="11">
        <v>0.2</v>
      </c>
      <c r="J112" s="11">
        <v>1</v>
      </c>
      <c r="K112" s="11">
        <v>1</v>
      </c>
      <c r="L112" s="143">
        <v>1000</v>
      </c>
      <c r="M112" s="421" t="s">
        <v>383</v>
      </c>
      <c r="N112" s="143" t="s">
        <v>85</v>
      </c>
      <c r="O112" s="422">
        <v>0.9</v>
      </c>
      <c r="P112" s="422" t="s">
        <v>26</v>
      </c>
      <c r="Q112" s="56">
        <v>0.1754</v>
      </c>
      <c r="R112" s="60" t="s">
        <v>43</v>
      </c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>
      <c r="A113" s="7" t="s">
        <v>384</v>
      </c>
      <c r="B113" s="12" t="s">
        <v>77</v>
      </c>
      <c r="C113" s="14" t="s">
        <v>98</v>
      </c>
      <c r="D113" s="412">
        <v>43497</v>
      </c>
      <c r="E113" s="65" t="s">
        <v>385</v>
      </c>
      <c r="F113" s="208" t="str">
        <f>HYPERLINK(E113,A113)</f>
        <v>La Taberna</v>
      </c>
      <c r="G113" s="38">
        <v>9</v>
      </c>
      <c r="H113" s="38">
        <v>3</v>
      </c>
      <c r="I113" s="11">
        <v>0.2</v>
      </c>
      <c r="J113" s="11">
        <v>1</v>
      </c>
      <c r="K113" s="11">
        <v>1</v>
      </c>
      <c r="L113" s="143">
        <v>1000</v>
      </c>
      <c r="M113" s="421" t="s">
        <v>143</v>
      </c>
      <c r="N113" s="143" t="s">
        <v>85</v>
      </c>
      <c r="O113" s="422">
        <v>0.9</v>
      </c>
      <c r="P113" s="422" t="s">
        <v>26</v>
      </c>
      <c r="Q113" s="56">
        <v>0.21510000000000001</v>
      </c>
      <c r="R113" s="60" t="s">
        <v>43</v>
      </c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>
      <c r="A114" s="7" t="s">
        <v>386</v>
      </c>
      <c r="B114" s="12" t="s">
        <v>77</v>
      </c>
      <c r="C114" s="14" t="s">
        <v>98</v>
      </c>
      <c r="D114" s="412">
        <v>45894</v>
      </c>
      <c r="E114" s="65" t="s">
        <v>387</v>
      </c>
      <c r="F114" s="208" t="str">
        <f>HYPERLINK(E114,A114)</f>
        <v>La Taberna Golden Edition</v>
      </c>
      <c r="G114" s="38">
        <v>9</v>
      </c>
      <c r="H114" s="38">
        <v>3</v>
      </c>
      <c r="I114" s="11">
        <v>0.2</v>
      </c>
      <c r="J114" s="11">
        <v>20</v>
      </c>
      <c r="K114" s="11">
        <v>0.2</v>
      </c>
      <c r="L114" s="143">
        <v>20000</v>
      </c>
      <c r="M114" s="211" t="s">
        <v>314</v>
      </c>
      <c r="N114" s="143" t="s">
        <v>85</v>
      </c>
      <c r="O114" s="93" t="s">
        <v>388</v>
      </c>
      <c r="P114" s="93" t="s">
        <v>26</v>
      </c>
      <c r="Q114" s="56">
        <v>0.20280000000000001</v>
      </c>
      <c r="R114" s="60" t="s">
        <v>27</v>
      </c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ht="60.75">
      <c r="A115" s="7" t="s">
        <v>389</v>
      </c>
      <c r="B115" s="12" t="s">
        <v>77</v>
      </c>
      <c r="C115" s="14" t="s">
        <v>98</v>
      </c>
      <c r="D115" s="412">
        <v>45187</v>
      </c>
      <c r="E115" s="65" t="s">
        <v>390</v>
      </c>
      <c r="F115" s="208" t="str">
        <f>HYPERLINK(E115,A115)</f>
        <v>Lago Magico</v>
      </c>
      <c r="G115" s="38">
        <v>25</v>
      </c>
      <c r="H115" s="38">
        <v>5</v>
      </c>
      <c r="I115" s="11">
        <v>0.5</v>
      </c>
      <c r="J115" s="11">
        <v>50</v>
      </c>
      <c r="K115" s="11">
        <v>2.5</v>
      </c>
      <c r="L115" s="143" t="s">
        <v>391</v>
      </c>
      <c r="M115" s="211" t="s">
        <v>356</v>
      </c>
      <c r="N115" s="143" t="s">
        <v>338</v>
      </c>
      <c r="O115" s="93" t="s">
        <v>339</v>
      </c>
      <c r="P115" s="93" t="s">
        <v>26</v>
      </c>
      <c r="Q115" s="56">
        <v>0.40160000000000001</v>
      </c>
      <c r="R115" s="60" t="s">
        <v>32</v>
      </c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>
      <c r="A116" s="7" t="s">
        <v>392</v>
      </c>
      <c r="B116" s="12" t="s">
        <v>77</v>
      </c>
      <c r="C116" s="14" t="s">
        <v>98</v>
      </c>
      <c r="D116" s="412">
        <v>43556</v>
      </c>
      <c r="E116" s="65" t="s">
        <v>393</v>
      </c>
      <c r="F116" s="208" t="str">
        <f>HYPERLINK(E116,A116)</f>
        <v>Las Riquezas De El Dorado</v>
      </c>
      <c r="G116" s="38">
        <v>9</v>
      </c>
      <c r="H116" s="38">
        <v>3</v>
      </c>
      <c r="I116" s="11">
        <v>0.2</v>
      </c>
      <c r="J116" s="11">
        <v>15</v>
      </c>
      <c r="K116" s="11">
        <v>0.2</v>
      </c>
      <c r="L116" s="143">
        <v>15000</v>
      </c>
      <c r="M116" s="211" t="s">
        <v>169</v>
      </c>
      <c r="N116" s="143" t="s">
        <v>85</v>
      </c>
      <c r="O116" s="93" t="s">
        <v>86</v>
      </c>
      <c r="P116" s="93" t="s">
        <v>26</v>
      </c>
      <c r="Q116" s="56">
        <v>0.3155</v>
      </c>
      <c r="R116" s="60" t="s">
        <v>43</v>
      </c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30.75">
      <c r="A117" s="7" t="s">
        <v>394</v>
      </c>
      <c r="B117" s="12" t="s">
        <v>77</v>
      </c>
      <c r="C117" s="14" t="s">
        <v>20</v>
      </c>
      <c r="D117" s="412">
        <v>45377</v>
      </c>
      <c r="E117" s="65" t="s">
        <v>395</v>
      </c>
      <c r="F117" s="208" t="str">
        <f>HYPERLINK(E117,A117)</f>
        <v>Las Tres Fuerzas De El Dorado</v>
      </c>
      <c r="G117" s="38">
        <v>9</v>
      </c>
      <c r="H117" s="38">
        <v>5</v>
      </c>
      <c r="I117" s="11">
        <v>0.2</v>
      </c>
      <c r="J117" s="11">
        <v>6</v>
      </c>
      <c r="K117" s="11">
        <v>1</v>
      </c>
      <c r="L117" s="143">
        <v>60000</v>
      </c>
      <c r="M117" s="211" t="s">
        <v>396</v>
      </c>
      <c r="N117" s="143" t="s">
        <v>397</v>
      </c>
      <c r="O117" s="93" t="s">
        <v>398</v>
      </c>
      <c r="P117" s="93" t="s">
        <v>26</v>
      </c>
      <c r="Q117" s="56">
        <v>0.30299999999999999</v>
      </c>
      <c r="R117" s="60" t="s">
        <v>399</v>
      </c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>
      <c r="A118" s="7" t="s">
        <v>400</v>
      </c>
      <c r="B118" s="12" t="s">
        <v>77</v>
      </c>
      <c r="C118" s="9" t="s">
        <v>20</v>
      </c>
      <c r="D118" s="412">
        <v>45103</v>
      </c>
      <c r="E118" s="65" t="s">
        <v>401</v>
      </c>
      <c r="F118" s="208" t="str">
        <f>HYPERLINK(E118,A118)</f>
        <v>Lejano Oeste</v>
      </c>
      <c r="G118" s="38">
        <v>9</v>
      </c>
      <c r="H118" s="38">
        <v>3</v>
      </c>
      <c r="I118" s="11">
        <v>0.2</v>
      </c>
      <c r="J118" s="11">
        <v>15</v>
      </c>
      <c r="K118" s="11">
        <v>0.2</v>
      </c>
      <c r="L118" s="143">
        <v>15000</v>
      </c>
      <c r="M118" s="211" t="s">
        <v>84</v>
      </c>
      <c r="N118" s="143" t="s">
        <v>85</v>
      </c>
      <c r="O118" s="93" t="s">
        <v>86</v>
      </c>
      <c r="P118" s="93" t="s">
        <v>26</v>
      </c>
      <c r="Q118" s="56">
        <v>0.42159999999999997</v>
      </c>
      <c r="R118" s="60" t="s">
        <v>27</v>
      </c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>
      <c r="A119" s="7" t="s">
        <v>402</v>
      </c>
      <c r="B119" s="12" t="s">
        <v>77</v>
      </c>
      <c r="C119" s="9" t="s">
        <v>20</v>
      </c>
      <c r="D119" s="412">
        <v>45684</v>
      </c>
      <c r="E119" s="65" t="s">
        <v>403</v>
      </c>
      <c r="F119" s="208" t="str">
        <f>HYPERLINK(E119,A119)</f>
        <v>Lejano Oeste Golden Edition</v>
      </c>
      <c r="G119" s="38">
        <v>9</v>
      </c>
      <c r="H119" s="38">
        <v>3</v>
      </c>
      <c r="I119" s="11">
        <v>0.2</v>
      </c>
      <c r="J119" s="11">
        <v>15</v>
      </c>
      <c r="K119" s="11">
        <v>0.2</v>
      </c>
      <c r="L119" s="143">
        <v>20000</v>
      </c>
      <c r="M119" s="211" t="s">
        <v>314</v>
      </c>
      <c r="N119" s="143" t="s">
        <v>374</v>
      </c>
      <c r="O119" s="93" t="s">
        <v>86</v>
      </c>
      <c r="P119" s="93" t="s">
        <v>26</v>
      </c>
      <c r="Q119" s="56">
        <v>3.95E-2</v>
      </c>
      <c r="R119" s="60" t="s">
        <v>27</v>
      </c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spans="1:30">
      <c r="A120" s="7" t="s">
        <v>404</v>
      </c>
      <c r="B120" s="12" t="s">
        <v>77</v>
      </c>
      <c r="C120" s="9" t="s">
        <v>20</v>
      </c>
      <c r="D120" s="412">
        <v>44067</v>
      </c>
      <c r="E120" s="65" t="s">
        <v>405</v>
      </c>
      <c r="F120" s="208" t="str">
        <f>HYPERLINK(E120,A120)</f>
        <v>Leticia Sabater Show</v>
      </c>
      <c r="G120" s="38">
        <v>9</v>
      </c>
      <c r="H120" s="38">
        <v>3</v>
      </c>
      <c r="I120" s="11">
        <v>0.2</v>
      </c>
      <c r="J120" s="11">
        <v>15</v>
      </c>
      <c r="K120" s="11">
        <v>0.2</v>
      </c>
      <c r="L120" s="143">
        <v>15000</v>
      </c>
      <c r="M120" s="211" t="s">
        <v>84</v>
      </c>
      <c r="N120" s="143" t="s">
        <v>85</v>
      </c>
      <c r="O120" s="93" t="s">
        <v>86</v>
      </c>
      <c r="P120" s="93" t="s">
        <v>26</v>
      </c>
      <c r="Q120" s="56">
        <v>0.3422</v>
      </c>
      <c r="R120" s="60" t="s">
        <v>43</v>
      </c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</row>
    <row r="121" spans="1:30">
      <c r="A121" s="7" t="s">
        <v>406</v>
      </c>
      <c r="B121" s="12" t="s">
        <v>77</v>
      </c>
      <c r="C121" s="14" t="s">
        <v>98</v>
      </c>
      <c r="D121" s="412">
        <v>45750</v>
      </c>
      <c r="E121" s="65" t="s">
        <v>407</v>
      </c>
      <c r="F121" s="208" t="str">
        <f>HYPERLINK(E121,A121)</f>
        <v>Leyendas De La Fortuna China</v>
      </c>
      <c r="G121" s="38">
        <v>9</v>
      </c>
      <c r="H121" s="38">
        <v>3</v>
      </c>
      <c r="I121" s="11">
        <v>0.2</v>
      </c>
      <c r="J121" s="11">
        <v>15</v>
      </c>
      <c r="K121" s="11">
        <v>0.2</v>
      </c>
      <c r="L121" s="143">
        <v>15000</v>
      </c>
      <c r="M121" s="211" t="s">
        <v>84</v>
      </c>
      <c r="N121" s="143" t="s">
        <v>85</v>
      </c>
      <c r="O121" s="93" t="s">
        <v>86</v>
      </c>
      <c r="P121" s="93" t="s">
        <v>26</v>
      </c>
      <c r="Q121" s="56">
        <v>0.19220000000000001</v>
      </c>
      <c r="R121" s="60" t="s">
        <v>27</v>
      </c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>
      <c r="A122" s="7" t="s">
        <v>408</v>
      </c>
      <c r="B122" s="12" t="s">
        <v>77</v>
      </c>
      <c r="C122" s="14" t="s">
        <v>98</v>
      </c>
      <c r="D122" s="412">
        <v>45992</v>
      </c>
      <c r="E122" s="65" t="s">
        <v>409</v>
      </c>
      <c r="F122" s="208" t="str">
        <f>HYPERLINK(E122,A122)</f>
        <v>Los 3 Pinguinos</v>
      </c>
      <c r="G122" s="38">
        <v>9</v>
      </c>
      <c r="H122" s="38">
        <v>3</v>
      </c>
      <c r="I122" s="11">
        <v>0.2</v>
      </c>
      <c r="J122" s="11">
        <v>15</v>
      </c>
      <c r="K122" s="11">
        <v>0.2</v>
      </c>
      <c r="L122" s="143">
        <v>15000</v>
      </c>
      <c r="M122" s="211" t="s">
        <v>84</v>
      </c>
      <c r="N122" s="143" t="s">
        <v>85</v>
      </c>
      <c r="O122" s="93" t="s">
        <v>410</v>
      </c>
      <c r="P122" s="93" t="s">
        <v>26</v>
      </c>
      <c r="Q122" s="56">
        <v>0.23699999999999999</v>
      </c>
      <c r="R122" s="60" t="s">
        <v>27</v>
      </c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ht="30.75">
      <c r="A123" s="7" t="s">
        <v>411</v>
      </c>
      <c r="B123" s="12" t="s">
        <v>77</v>
      </c>
      <c r="C123" s="14" t="s">
        <v>98</v>
      </c>
      <c r="D123" s="412">
        <v>45873</v>
      </c>
      <c r="E123" s="65" t="s">
        <v>412</v>
      </c>
      <c r="F123" s="208" t="str">
        <f>HYPERLINK(E123,A123)</f>
        <v>Los Monos Doble Bote</v>
      </c>
      <c r="G123" s="38">
        <v>20</v>
      </c>
      <c r="H123" s="38">
        <v>5</v>
      </c>
      <c r="I123" s="11">
        <v>0.2</v>
      </c>
      <c r="J123" s="11">
        <v>20</v>
      </c>
      <c r="K123" s="11">
        <v>1</v>
      </c>
      <c r="L123" s="143">
        <v>42000</v>
      </c>
      <c r="M123" s="211" t="s">
        <v>413</v>
      </c>
      <c r="N123" s="143" t="s">
        <v>61</v>
      </c>
      <c r="O123" s="93" t="s">
        <v>414</v>
      </c>
      <c r="P123" s="93" t="s">
        <v>26</v>
      </c>
      <c r="Q123" s="56">
        <v>0.3155</v>
      </c>
      <c r="R123" s="60" t="s">
        <v>27</v>
      </c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>
      <c r="A124" s="7" t="s">
        <v>415</v>
      </c>
      <c r="B124" s="12" t="s">
        <v>77</v>
      </c>
      <c r="C124" s="14" t="s">
        <v>98</v>
      </c>
      <c r="D124" s="412">
        <v>43629</v>
      </c>
      <c r="E124" s="65" t="s">
        <v>416</v>
      </c>
      <c r="F124" s="208" t="str">
        <f>HYPERLINK(E124,A124)</f>
        <v>Los Tres Deseos</v>
      </c>
      <c r="G124" s="38">
        <v>9</v>
      </c>
      <c r="H124" s="38">
        <v>3</v>
      </c>
      <c r="I124" s="11">
        <v>0.2</v>
      </c>
      <c r="J124" s="11">
        <v>10</v>
      </c>
      <c r="K124" s="11">
        <v>0.2</v>
      </c>
      <c r="L124" s="143">
        <v>10000</v>
      </c>
      <c r="M124" s="211" t="s">
        <v>93</v>
      </c>
      <c r="N124" s="143" t="s">
        <v>85</v>
      </c>
      <c r="O124" s="93" t="s">
        <v>86</v>
      </c>
      <c r="P124" s="93" t="s">
        <v>26</v>
      </c>
      <c r="Q124" s="56">
        <v>0.30120000000000002</v>
      </c>
      <c r="R124" s="60" t="s">
        <v>43</v>
      </c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>
      <c r="A125" s="7" t="s">
        <v>417</v>
      </c>
      <c r="B125" s="12" t="s">
        <v>77</v>
      </c>
      <c r="C125" s="14" t="s">
        <v>98</v>
      </c>
      <c r="D125" s="412">
        <v>43497</v>
      </c>
      <c r="E125" s="65" t="s">
        <v>418</v>
      </c>
      <c r="F125" s="208" t="str">
        <f>HYPERLINK(E125,A125)</f>
        <v>Los Tres Espadachines Y El Tesoro Del Castillo</v>
      </c>
      <c r="G125" s="38">
        <v>9</v>
      </c>
      <c r="H125" s="38">
        <v>3</v>
      </c>
      <c r="I125" s="11">
        <v>0.2</v>
      </c>
      <c r="J125" s="11">
        <v>10</v>
      </c>
      <c r="K125" s="11">
        <v>1</v>
      </c>
      <c r="L125" s="143">
        <v>10000</v>
      </c>
      <c r="M125" s="211" t="s">
        <v>93</v>
      </c>
      <c r="N125" s="143" t="s">
        <v>85</v>
      </c>
      <c r="O125" s="93" t="s">
        <v>86</v>
      </c>
      <c r="P125" s="93" t="s">
        <v>26</v>
      </c>
      <c r="Q125" s="56">
        <v>0.30049999999999999</v>
      </c>
      <c r="R125" s="60" t="s">
        <v>43</v>
      </c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60.75">
      <c r="A126" s="7" t="s">
        <v>419</v>
      </c>
      <c r="B126" s="12" t="s">
        <v>77</v>
      </c>
      <c r="C126" s="9" t="s">
        <v>20</v>
      </c>
      <c r="D126" s="412">
        <v>44585</v>
      </c>
      <c r="E126" s="65" t="s">
        <v>420</v>
      </c>
      <c r="F126" s="208" t="str">
        <f>HYPERLINK(E126,A126)</f>
        <v>Lucia Martiño Lucky Wave</v>
      </c>
      <c r="G126" s="38">
        <v>25</v>
      </c>
      <c r="H126" s="38">
        <v>5</v>
      </c>
      <c r="I126" s="11">
        <v>0.25</v>
      </c>
      <c r="J126" s="11">
        <v>25</v>
      </c>
      <c r="K126" s="11">
        <v>2.5</v>
      </c>
      <c r="L126" s="143" t="s">
        <v>337</v>
      </c>
      <c r="M126" s="211" t="s">
        <v>102</v>
      </c>
      <c r="N126" s="143" t="s">
        <v>338</v>
      </c>
      <c r="O126" s="93" t="s">
        <v>339</v>
      </c>
      <c r="P126" s="93" t="s">
        <v>26</v>
      </c>
      <c r="Q126" s="56">
        <v>0.39229999999999998</v>
      </c>
      <c r="R126" s="60" t="s">
        <v>32</v>
      </c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ht="30.75">
      <c r="A127" s="7" t="s">
        <v>421</v>
      </c>
      <c r="B127" s="12" t="s">
        <v>77</v>
      </c>
      <c r="C127" s="14" t="s">
        <v>98</v>
      </c>
      <c r="D127" s="412">
        <v>43101</v>
      </c>
      <c r="E127" s="65" t="s">
        <v>422</v>
      </c>
      <c r="F127" s="208" t="str">
        <f>HYPERLINK(E127,A127)</f>
        <v>Lucky Dragon</v>
      </c>
      <c r="G127" s="38">
        <v>10</v>
      </c>
      <c r="H127" s="38">
        <v>5</v>
      </c>
      <c r="I127" s="11">
        <v>0.1</v>
      </c>
      <c r="J127" s="11">
        <v>50</v>
      </c>
      <c r="K127" s="11">
        <v>1</v>
      </c>
      <c r="L127" s="143">
        <v>25000</v>
      </c>
      <c r="M127" s="211" t="s">
        <v>160</v>
      </c>
      <c r="N127" s="143" t="s">
        <v>144</v>
      </c>
      <c r="O127" s="93" t="s">
        <v>423</v>
      </c>
      <c r="P127" s="93" t="s">
        <v>26</v>
      </c>
      <c r="Q127" s="56">
        <v>0.22989999999999999</v>
      </c>
      <c r="R127" s="60" t="s">
        <v>32</v>
      </c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>
      <c r="A128" s="7" t="s">
        <v>424</v>
      </c>
      <c r="B128" s="12" t="s">
        <v>77</v>
      </c>
      <c r="C128" s="9" t="s">
        <v>20</v>
      </c>
      <c r="D128" s="412">
        <v>45180</v>
      </c>
      <c r="E128" s="65" t="s">
        <v>425</v>
      </c>
      <c r="F128" s="208" t="str">
        <f>HYPERLINK(E128,A128)</f>
        <v>Lucky Duende</v>
      </c>
      <c r="G128" s="38">
        <v>9</v>
      </c>
      <c r="H128" s="38">
        <v>3</v>
      </c>
      <c r="I128" s="11">
        <v>0.2</v>
      </c>
      <c r="J128" s="11">
        <v>15</v>
      </c>
      <c r="K128" s="11">
        <v>0.2</v>
      </c>
      <c r="L128" s="143">
        <v>15000</v>
      </c>
      <c r="M128" s="211" t="s">
        <v>84</v>
      </c>
      <c r="N128" s="143" t="s">
        <v>85</v>
      </c>
      <c r="O128" s="93" t="s">
        <v>86</v>
      </c>
      <c r="P128" s="93" t="s">
        <v>26</v>
      </c>
      <c r="Q128" s="29">
        <v>0.3422</v>
      </c>
      <c r="R128" s="60" t="s">
        <v>43</v>
      </c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>
      <c r="A129" s="7" t="s">
        <v>426</v>
      </c>
      <c r="B129" s="12" t="s">
        <v>77</v>
      </c>
      <c r="C129" s="9" t="s">
        <v>20</v>
      </c>
      <c r="D129" s="412">
        <v>45470</v>
      </c>
      <c r="E129" s="65" t="s">
        <v>427</v>
      </c>
      <c r="F129" s="208" t="str">
        <f>HYPERLINK(E129,A129)</f>
        <v>Lucky Player Mga</v>
      </c>
      <c r="G129" s="38">
        <v>9</v>
      </c>
      <c r="H129" s="38">
        <v>3</v>
      </c>
      <c r="I129" s="11">
        <v>0.2</v>
      </c>
      <c r="J129" s="11">
        <v>15</v>
      </c>
      <c r="K129" s="11">
        <v>0.2</v>
      </c>
      <c r="L129" s="143">
        <v>20000</v>
      </c>
      <c r="M129" s="211" t="s">
        <v>314</v>
      </c>
      <c r="N129" s="143" t="s">
        <v>374</v>
      </c>
      <c r="O129" s="93" t="s">
        <v>86</v>
      </c>
      <c r="P129" s="93" t="s">
        <v>26</v>
      </c>
      <c r="Q129" s="56">
        <v>0.58599999999999997</v>
      </c>
      <c r="R129" s="60" t="s">
        <v>43</v>
      </c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>
      <c r="A130" s="7" t="s">
        <v>428</v>
      </c>
      <c r="B130" s="12" t="s">
        <v>77</v>
      </c>
      <c r="C130" s="9" t="s">
        <v>20</v>
      </c>
      <c r="D130" s="412">
        <v>45201</v>
      </c>
      <c r="E130" s="65" t="s">
        <v>429</v>
      </c>
      <c r="F130" s="208" t="str">
        <f>HYPERLINK(E130,A130)</f>
        <v>Lucky Western</v>
      </c>
      <c r="G130" s="38">
        <v>9</v>
      </c>
      <c r="H130" s="38">
        <v>3</v>
      </c>
      <c r="I130" s="11">
        <v>0.2</v>
      </c>
      <c r="J130" s="11">
        <v>15</v>
      </c>
      <c r="K130" s="11">
        <v>0.2</v>
      </c>
      <c r="L130" s="143">
        <v>15000</v>
      </c>
      <c r="M130" s="211" t="s">
        <v>84</v>
      </c>
      <c r="N130" s="143" t="s">
        <v>85</v>
      </c>
      <c r="O130" s="93" t="s">
        <v>86</v>
      </c>
      <c r="P130" s="93" t="s">
        <v>26</v>
      </c>
      <c r="Q130" s="56">
        <v>0.2545</v>
      </c>
      <c r="R130" s="60" t="s">
        <v>27</v>
      </c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>
      <c r="A131" s="7" t="s">
        <v>430</v>
      </c>
      <c r="B131" s="12" t="s">
        <v>77</v>
      </c>
      <c r="C131" s="9" t="s">
        <v>20</v>
      </c>
      <c r="D131" s="412">
        <v>45040</v>
      </c>
      <c r="E131" s="65" t="s">
        <v>431</v>
      </c>
      <c r="F131" s="208" t="str">
        <f>HYPERLINK(E131,A131)</f>
        <v>Makoke Caza Espiritus</v>
      </c>
      <c r="G131" s="38">
        <v>9</v>
      </c>
      <c r="H131" s="38">
        <v>3</v>
      </c>
      <c r="I131" s="11">
        <v>0.2</v>
      </c>
      <c r="J131" s="11">
        <v>15</v>
      </c>
      <c r="K131" s="11">
        <v>0.2</v>
      </c>
      <c r="L131" s="143">
        <v>15000</v>
      </c>
      <c r="M131" s="211" t="s">
        <v>84</v>
      </c>
      <c r="N131" s="143" t="s">
        <v>85</v>
      </c>
      <c r="O131" s="93" t="s">
        <v>86</v>
      </c>
      <c r="P131" s="93" t="s">
        <v>26</v>
      </c>
      <c r="Q131" s="56">
        <v>0.31519999999999998</v>
      </c>
      <c r="R131" s="60" t="s">
        <v>27</v>
      </c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>
      <c r="A132" s="7" t="s">
        <v>432</v>
      </c>
      <c r="B132" s="12" t="s">
        <v>77</v>
      </c>
      <c r="C132" s="9" t="s">
        <v>20</v>
      </c>
      <c r="D132" s="412">
        <v>43101</v>
      </c>
      <c r="E132" s="65" t="s">
        <v>433</v>
      </c>
      <c r="F132" s="208" t="str">
        <f>HYPERLINK(E132,A132)</f>
        <v>Manolo El Del Bombo</v>
      </c>
      <c r="G132" s="38">
        <v>9</v>
      </c>
      <c r="H132" s="38">
        <v>3</v>
      </c>
      <c r="I132" s="11">
        <v>0.2</v>
      </c>
      <c r="J132" s="11">
        <v>10</v>
      </c>
      <c r="K132" s="11">
        <v>0.2</v>
      </c>
      <c r="L132" s="143">
        <v>10000</v>
      </c>
      <c r="M132" s="211" t="s">
        <v>93</v>
      </c>
      <c r="N132" s="143" t="s">
        <v>85</v>
      </c>
      <c r="O132" s="93" t="s">
        <v>86</v>
      </c>
      <c r="P132" s="93" t="s">
        <v>26</v>
      </c>
      <c r="Q132" s="56">
        <v>0.3846</v>
      </c>
      <c r="R132" s="60" t="s">
        <v>43</v>
      </c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30.75">
      <c r="A133" s="7" t="s">
        <v>434</v>
      </c>
      <c r="B133" s="12" t="s">
        <v>77</v>
      </c>
      <c r="C133" s="9" t="s">
        <v>20</v>
      </c>
      <c r="D133" s="412">
        <v>45117</v>
      </c>
      <c r="E133" s="65" t="s">
        <v>435</v>
      </c>
      <c r="F133" s="208" t="str">
        <f>HYPERLINK(E133,A133)</f>
        <v>Mapa De Los Vikingos</v>
      </c>
      <c r="G133" s="38">
        <v>243</v>
      </c>
      <c r="H133" s="38">
        <v>5</v>
      </c>
      <c r="I133" s="11">
        <v>0.3</v>
      </c>
      <c r="J133" s="11">
        <v>6</v>
      </c>
      <c r="K133" s="11">
        <v>0.9</v>
      </c>
      <c r="L133" s="143">
        <v>14985</v>
      </c>
      <c r="M133" s="211" t="s">
        <v>79</v>
      </c>
      <c r="N133" s="143" t="s">
        <v>436</v>
      </c>
      <c r="O133" s="93" t="s">
        <v>437</v>
      </c>
      <c r="P133" s="93" t="s">
        <v>26</v>
      </c>
      <c r="Q133" s="56">
        <v>0.3236</v>
      </c>
      <c r="R133" s="60" t="s">
        <v>43</v>
      </c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>
      <c r="A134" s="7" t="s">
        <v>438</v>
      </c>
      <c r="B134" s="12" t="s">
        <v>77</v>
      </c>
      <c r="C134" s="9" t="s">
        <v>20</v>
      </c>
      <c r="D134" s="412">
        <v>45349</v>
      </c>
      <c r="E134" s="65" t="s">
        <v>439</v>
      </c>
      <c r="F134" s="208" t="str">
        <f>HYPERLINK(E134,A134)</f>
        <v>Maria La Piedra Carnaval</v>
      </c>
      <c r="G134" s="38">
        <v>9</v>
      </c>
      <c r="H134" s="38">
        <v>3</v>
      </c>
      <c r="I134" s="11">
        <v>0.2</v>
      </c>
      <c r="J134" s="11">
        <v>15</v>
      </c>
      <c r="K134" s="11">
        <v>0.2</v>
      </c>
      <c r="L134" s="143">
        <v>15000</v>
      </c>
      <c r="M134" s="211" t="s">
        <v>84</v>
      </c>
      <c r="N134" s="143" t="s">
        <v>85</v>
      </c>
      <c r="O134" s="93" t="s">
        <v>86</v>
      </c>
      <c r="P134" s="93" t="s">
        <v>26</v>
      </c>
      <c r="Q134" s="56">
        <v>0.3024</v>
      </c>
      <c r="R134" s="60" t="s">
        <v>27</v>
      </c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>
      <c r="A135" s="7" t="s">
        <v>440</v>
      </c>
      <c r="B135" s="12" t="s">
        <v>77</v>
      </c>
      <c r="C135" s="9" t="s">
        <v>20</v>
      </c>
      <c r="D135" s="412">
        <v>43763</v>
      </c>
      <c r="E135" s="65" t="s">
        <v>441</v>
      </c>
      <c r="F135" s="208" t="str">
        <f>HYPERLINK(E135,A135)</f>
        <v>Maria La Piedra En Troya</v>
      </c>
      <c r="G135" s="38">
        <v>9</v>
      </c>
      <c r="H135" s="38">
        <v>3</v>
      </c>
      <c r="I135" s="11">
        <v>0.2</v>
      </c>
      <c r="J135" s="11">
        <v>15</v>
      </c>
      <c r="K135" s="11">
        <v>0.2</v>
      </c>
      <c r="L135" s="143">
        <v>15000</v>
      </c>
      <c r="M135" s="211" t="s">
        <v>84</v>
      </c>
      <c r="N135" s="143" t="s">
        <v>85</v>
      </c>
      <c r="O135" s="93" t="s">
        <v>86</v>
      </c>
      <c r="P135" s="93" t="s">
        <v>26</v>
      </c>
      <c r="Q135" s="56">
        <v>0.3155</v>
      </c>
      <c r="R135" s="60" t="s">
        <v>43</v>
      </c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>
      <c r="A136" s="7" t="s">
        <v>442</v>
      </c>
      <c r="B136" s="12" t="s">
        <v>77</v>
      </c>
      <c r="C136" s="14" t="s">
        <v>20</v>
      </c>
      <c r="D136" s="412">
        <v>44893</v>
      </c>
      <c r="E136" s="65" t="s">
        <v>443</v>
      </c>
      <c r="F136" s="208" t="str">
        <f>HYPERLINK(E136,A136)</f>
        <v>Mario Vaquerizo Aventura Pirata</v>
      </c>
      <c r="G136" s="38">
        <v>9</v>
      </c>
      <c r="H136" s="38">
        <v>3</v>
      </c>
      <c r="I136" s="11">
        <v>0.2</v>
      </c>
      <c r="J136" s="11">
        <v>15</v>
      </c>
      <c r="K136" s="11">
        <v>0.2</v>
      </c>
      <c r="L136" s="143">
        <v>15000</v>
      </c>
      <c r="M136" s="211" t="s">
        <v>84</v>
      </c>
      <c r="N136" s="143" t="s">
        <v>85</v>
      </c>
      <c r="O136" s="93" t="s">
        <v>86</v>
      </c>
      <c r="P136" s="93" t="s">
        <v>26</v>
      </c>
      <c r="Q136" s="56">
        <v>0.39229999999999998</v>
      </c>
      <c r="R136" s="60" t="s">
        <v>32</v>
      </c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>
      <c r="A137" s="13" t="s">
        <v>444</v>
      </c>
      <c r="B137" s="12" t="s">
        <v>77</v>
      </c>
      <c r="C137" s="9" t="s">
        <v>20</v>
      </c>
      <c r="D137" s="412">
        <v>44158</v>
      </c>
      <c r="E137" s="65" t="s">
        <v>445</v>
      </c>
      <c r="F137" s="208" t="str">
        <f>HYPERLINK(E137,A137)</f>
        <v>Mga Mix</v>
      </c>
      <c r="G137" s="38">
        <v>9</v>
      </c>
      <c r="H137" s="38">
        <v>3</v>
      </c>
      <c r="I137" s="11">
        <v>0.2</v>
      </c>
      <c r="J137" s="11">
        <v>15</v>
      </c>
      <c r="K137" s="11">
        <v>0.2</v>
      </c>
      <c r="L137" s="143">
        <v>15000</v>
      </c>
      <c r="M137" s="211" t="s">
        <v>84</v>
      </c>
      <c r="N137" s="143" t="s">
        <v>85</v>
      </c>
      <c r="O137" s="93" t="s">
        <v>86</v>
      </c>
      <c r="P137" s="93" t="s">
        <v>26</v>
      </c>
      <c r="Q137" s="29">
        <v>0.3422</v>
      </c>
      <c r="R137" s="61" t="s">
        <v>43</v>
      </c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ht="30.75">
      <c r="A138" s="7" t="s">
        <v>446</v>
      </c>
      <c r="B138" s="12" t="s">
        <v>77</v>
      </c>
      <c r="C138" s="14" t="s">
        <v>98</v>
      </c>
      <c r="D138" s="412">
        <v>45775</v>
      </c>
      <c r="E138" s="65" t="s">
        <v>447</v>
      </c>
      <c r="F138" s="208" t="str">
        <f>HYPERLINK(E138,A138)</f>
        <v>Minerales Mágicos</v>
      </c>
      <c r="G138" s="38">
        <v>10</v>
      </c>
      <c r="H138" s="38">
        <v>5</v>
      </c>
      <c r="I138" s="11">
        <v>0.1</v>
      </c>
      <c r="J138" s="11">
        <v>20</v>
      </c>
      <c r="K138" s="11">
        <v>1</v>
      </c>
      <c r="L138" s="143">
        <v>42000</v>
      </c>
      <c r="M138" s="211" t="s">
        <v>107</v>
      </c>
      <c r="N138" s="143" t="s">
        <v>61</v>
      </c>
      <c r="O138" s="211" t="s">
        <v>448</v>
      </c>
      <c r="P138" s="211" t="s">
        <v>26</v>
      </c>
      <c r="Q138" s="56">
        <v>0.15939999999999999</v>
      </c>
      <c r="R138" s="60" t="s">
        <v>43</v>
      </c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>
      <c r="A139" s="7" t="s">
        <v>449</v>
      </c>
      <c r="B139" s="12" t="s">
        <v>77</v>
      </c>
      <c r="C139" s="14" t="s">
        <v>98</v>
      </c>
      <c r="D139" s="412">
        <v>43101</v>
      </c>
      <c r="E139" s="65" t="s">
        <v>450</v>
      </c>
      <c r="F139" s="208" t="str">
        <f>HYPERLINK(E139,A139)</f>
        <v>Mision Espacial</v>
      </c>
      <c r="G139" s="38">
        <v>9</v>
      </c>
      <c r="H139" s="38">
        <v>3</v>
      </c>
      <c r="I139" s="11">
        <v>0.2</v>
      </c>
      <c r="J139" s="11">
        <v>2</v>
      </c>
      <c r="K139" s="11">
        <v>1</v>
      </c>
      <c r="L139" s="143">
        <v>2000</v>
      </c>
      <c r="M139" s="421" t="s">
        <v>131</v>
      </c>
      <c r="N139" s="143" t="s">
        <v>85</v>
      </c>
      <c r="O139" s="422">
        <v>0.9</v>
      </c>
      <c r="P139" s="422" t="s">
        <v>26</v>
      </c>
      <c r="Q139" s="56">
        <v>0.29070000000000001</v>
      </c>
      <c r="R139" s="60" t="s">
        <v>43</v>
      </c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>
      <c r="A140" s="381" t="s">
        <v>451</v>
      </c>
      <c r="B140" s="12" t="s">
        <v>77</v>
      </c>
      <c r="C140" s="329" t="s">
        <v>98</v>
      </c>
      <c r="D140" s="406">
        <v>46141</v>
      </c>
      <c r="E140" s="363" t="s">
        <v>452</v>
      </c>
      <c r="F140" s="349" t="s">
        <v>451</v>
      </c>
      <c r="G140" s="334">
        <v>25</v>
      </c>
      <c r="H140" s="334">
        <v>5</v>
      </c>
      <c r="I140" s="364">
        <v>0.25</v>
      </c>
      <c r="J140" s="364">
        <v>25</v>
      </c>
      <c r="K140" s="364">
        <v>1</v>
      </c>
      <c r="L140" s="364">
        <v>125000</v>
      </c>
      <c r="M140" s="334" t="s">
        <v>102</v>
      </c>
      <c r="N140" s="334" t="s">
        <v>453</v>
      </c>
      <c r="O140" s="334" t="s">
        <v>454</v>
      </c>
      <c r="P140" s="334" t="s">
        <v>26</v>
      </c>
      <c r="Q140" s="334" t="s">
        <v>455</v>
      </c>
      <c r="R140" s="339" t="s">
        <v>43</v>
      </c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ht="30.75">
      <c r="A141" s="7" t="s">
        <v>456</v>
      </c>
      <c r="B141" s="12" t="s">
        <v>77</v>
      </c>
      <c r="C141" s="14" t="s">
        <v>98</v>
      </c>
      <c r="D141" s="412">
        <v>45594</v>
      </c>
      <c r="E141" s="65" t="s">
        <v>316</v>
      </c>
      <c r="F141" s="208" t="str">
        <f>HYPERLINK(E141,A141)</f>
        <v>Monstronautas Cósmicos</v>
      </c>
      <c r="G141" s="38">
        <v>9</v>
      </c>
      <c r="H141" s="38">
        <v>3</v>
      </c>
      <c r="I141" s="11">
        <v>0.25</v>
      </c>
      <c r="J141" s="11">
        <v>25</v>
      </c>
      <c r="K141" s="11">
        <v>2.5</v>
      </c>
      <c r="L141" s="143">
        <v>28500</v>
      </c>
      <c r="M141" s="211" t="s">
        <v>102</v>
      </c>
      <c r="N141" s="143" t="s">
        <v>310</v>
      </c>
      <c r="O141" s="93" t="s">
        <v>86</v>
      </c>
      <c r="P141" s="93" t="s">
        <v>26</v>
      </c>
      <c r="Q141" s="56">
        <v>0.23449999999999999</v>
      </c>
      <c r="R141" s="60" t="s">
        <v>27</v>
      </c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>
      <c r="A142" s="7" t="s">
        <v>457</v>
      </c>
      <c r="B142" s="12" t="s">
        <v>77</v>
      </c>
      <c r="C142" s="14" t="s">
        <v>98</v>
      </c>
      <c r="D142" s="412">
        <v>43101</v>
      </c>
      <c r="E142" s="65" t="s">
        <v>458</v>
      </c>
      <c r="F142" s="208" t="str">
        <f>HYPERLINK(E142,A142)</f>
        <v>Mr Hacker</v>
      </c>
      <c r="G142" s="38">
        <v>9</v>
      </c>
      <c r="H142" s="38">
        <v>3</v>
      </c>
      <c r="I142" s="11">
        <v>0.2</v>
      </c>
      <c r="J142" s="11">
        <v>10</v>
      </c>
      <c r="K142" s="11">
        <v>1</v>
      </c>
      <c r="L142" s="143">
        <v>10000</v>
      </c>
      <c r="M142" s="211" t="s">
        <v>93</v>
      </c>
      <c r="N142" s="143" t="s">
        <v>85</v>
      </c>
      <c r="O142" s="93" t="s">
        <v>86</v>
      </c>
      <c r="P142" s="93" t="s">
        <v>26</v>
      </c>
      <c r="Q142" s="56">
        <v>0.3876</v>
      </c>
      <c r="R142" s="60" t="s">
        <v>43</v>
      </c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>
      <c r="A143" s="7" t="s">
        <v>459</v>
      </c>
      <c r="B143" s="12" t="s">
        <v>77</v>
      </c>
      <c r="C143" s="14" t="s">
        <v>98</v>
      </c>
      <c r="D143" s="412">
        <v>44739</v>
      </c>
      <c r="E143" s="65" t="s">
        <v>460</v>
      </c>
      <c r="F143" s="208" t="str">
        <f>HYPERLINK(E143,A143)</f>
        <v>Mr Magnifico</v>
      </c>
      <c r="G143" s="38">
        <v>9</v>
      </c>
      <c r="H143" s="38">
        <v>3</v>
      </c>
      <c r="I143" s="11">
        <v>0.2</v>
      </c>
      <c r="J143" s="11">
        <v>1</v>
      </c>
      <c r="K143" s="11">
        <v>1</v>
      </c>
      <c r="L143" s="143">
        <v>1000</v>
      </c>
      <c r="M143" s="421" t="s">
        <v>143</v>
      </c>
      <c r="N143" s="143" t="s">
        <v>85</v>
      </c>
      <c r="O143" s="422">
        <v>0.9</v>
      </c>
      <c r="P143" s="422" t="s">
        <v>26</v>
      </c>
      <c r="Q143" s="56">
        <v>0.20280000000000001</v>
      </c>
      <c r="R143" s="60" t="s">
        <v>43</v>
      </c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ht="30.75">
      <c r="A144" s="7" t="s">
        <v>461</v>
      </c>
      <c r="B144" s="12" t="s">
        <v>77</v>
      </c>
      <c r="C144" s="9" t="s">
        <v>20</v>
      </c>
      <c r="D144" s="412">
        <v>45243</v>
      </c>
      <c r="E144" s="65" t="s">
        <v>462</v>
      </c>
      <c r="F144" s="208" t="str">
        <f>HYPERLINK(E144,A144)</f>
        <v>Nika Queen Of Persia</v>
      </c>
      <c r="G144" s="38">
        <v>243</v>
      </c>
      <c r="H144" s="38">
        <v>5</v>
      </c>
      <c r="I144" s="11">
        <v>0.3</v>
      </c>
      <c r="J144" s="11">
        <v>6</v>
      </c>
      <c r="K144" s="11">
        <v>0.9</v>
      </c>
      <c r="L144" s="143">
        <v>38100</v>
      </c>
      <c r="M144" s="211" t="s">
        <v>79</v>
      </c>
      <c r="N144" s="143" t="s">
        <v>80</v>
      </c>
      <c r="O144" s="93" t="s">
        <v>81</v>
      </c>
      <c r="P144" s="93" t="s">
        <v>26</v>
      </c>
      <c r="Q144" s="56">
        <v>0.29220000000000002</v>
      </c>
      <c r="R144" s="60" t="s">
        <v>27</v>
      </c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ht="30.75">
      <c r="A145" s="7" t="s">
        <v>463</v>
      </c>
      <c r="B145" s="12" t="s">
        <v>77</v>
      </c>
      <c r="C145" s="14" t="s">
        <v>98</v>
      </c>
      <c r="D145" s="412">
        <v>45561</v>
      </c>
      <c r="E145" s="65" t="s">
        <v>464</v>
      </c>
      <c r="F145" s="208" t="str">
        <f>HYPERLINK(E145,A145)</f>
        <v>Olimpo De Zeus</v>
      </c>
      <c r="G145" s="38">
        <v>25</v>
      </c>
      <c r="H145" s="38">
        <v>5</v>
      </c>
      <c r="I145" s="11">
        <v>0.25</v>
      </c>
      <c r="J145" s="11">
        <v>25</v>
      </c>
      <c r="K145" s="11">
        <v>2.5</v>
      </c>
      <c r="L145" s="143">
        <v>52500</v>
      </c>
      <c r="M145" s="211" t="s">
        <v>102</v>
      </c>
      <c r="N145" s="143" t="s">
        <v>61</v>
      </c>
      <c r="O145" s="93" t="s">
        <v>465</v>
      </c>
      <c r="P145" s="93" t="s">
        <v>26</v>
      </c>
      <c r="Q145" s="56">
        <v>0.2036</v>
      </c>
      <c r="R145" s="60" t="s">
        <v>43</v>
      </c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>
      <c r="A146" s="7" t="s">
        <v>466</v>
      </c>
      <c r="B146" s="12" t="s">
        <v>77</v>
      </c>
      <c r="C146" s="14" t="s">
        <v>98</v>
      </c>
      <c r="D146" s="412">
        <v>43101</v>
      </c>
      <c r="E146" s="65" t="s">
        <v>467</v>
      </c>
      <c r="F146" s="208" t="str">
        <f>HYPERLINK(E146,A146)</f>
        <v>Oro De Atenea</v>
      </c>
      <c r="G146" s="38">
        <v>9</v>
      </c>
      <c r="H146" s="38">
        <v>3</v>
      </c>
      <c r="I146" s="11">
        <v>0.2</v>
      </c>
      <c r="J146" s="11">
        <v>10</v>
      </c>
      <c r="K146" s="11">
        <v>1</v>
      </c>
      <c r="L146" s="143">
        <v>10000</v>
      </c>
      <c r="M146" s="211" t="s">
        <v>93</v>
      </c>
      <c r="N146" s="143" t="s">
        <v>85</v>
      </c>
      <c r="O146" s="93" t="s">
        <v>86</v>
      </c>
      <c r="P146" s="93" t="s">
        <v>26</v>
      </c>
      <c r="Q146" s="56">
        <v>0.3745</v>
      </c>
      <c r="R146" s="60" t="s">
        <v>43</v>
      </c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>
      <c r="A147" s="7" t="s">
        <v>468</v>
      </c>
      <c r="B147" s="12" t="s">
        <v>77</v>
      </c>
      <c r="C147" s="9" t="s">
        <v>20</v>
      </c>
      <c r="D147" s="412">
        <v>45138</v>
      </c>
      <c r="E147" s="65" t="s">
        <v>469</v>
      </c>
      <c r="F147" s="208" t="str">
        <f>HYPERLINK(E147,A147)</f>
        <v>Pasapalabra</v>
      </c>
      <c r="G147" s="38">
        <v>9</v>
      </c>
      <c r="H147" s="38">
        <v>3</v>
      </c>
      <c r="I147" s="11">
        <v>0.2</v>
      </c>
      <c r="J147" s="11">
        <v>15</v>
      </c>
      <c r="K147" s="11">
        <v>0.2</v>
      </c>
      <c r="L147" s="143">
        <v>15000</v>
      </c>
      <c r="M147" s="211" t="s">
        <v>84</v>
      </c>
      <c r="N147" s="143" t="s">
        <v>85</v>
      </c>
      <c r="O147" s="93" t="s">
        <v>86</v>
      </c>
      <c r="P147" s="93" t="s">
        <v>26</v>
      </c>
      <c r="Q147" s="56">
        <v>0.28999999999999998</v>
      </c>
      <c r="R147" s="60" t="s">
        <v>27</v>
      </c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ht="76.5">
      <c r="A148" s="7" t="s">
        <v>470</v>
      </c>
      <c r="B148" s="12" t="s">
        <v>77</v>
      </c>
      <c r="C148" s="9" t="s">
        <v>20</v>
      </c>
      <c r="D148" s="412">
        <v>44438</v>
      </c>
      <c r="E148" s="65" t="s">
        <v>471</v>
      </c>
      <c r="F148" s="208" t="str">
        <f>HYPERLINK(E148,A148)</f>
        <v>Paulo Futre - The Last Gladiator</v>
      </c>
      <c r="G148" s="39">
        <v>20</v>
      </c>
      <c r="H148" s="39">
        <v>5</v>
      </c>
      <c r="I148" s="11">
        <v>0.2</v>
      </c>
      <c r="J148" s="15">
        <v>25</v>
      </c>
      <c r="K148" s="15">
        <v>1</v>
      </c>
      <c r="L148" s="259" t="s">
        <v>203</v>
      </c>
      <c r="M148" s="211" t="s">
        <v>126</v>
      </c>
      <c r="N148" s="143" t="s">
        <v>204</v>
      </c>
      <c r="O148" s="93" t="s">
        <v>205</v>
      </c>
      <c r="P148" s="93" t="s">
        <v>26</v>
      </c>
      <c r="Q148" s="29">
        <v>0.30320000000000003</v>
      </c>
      <c r="R148" s="61" t="s">
        <v>43</v>
      </c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ht="30.75">
      <c r="A149" s="7" t="s">
        <v>472</v>
      </c>
      <c r="B149" s="12" t="s">
        <v>77</v>
      </c>
      <c r="C149" s="14" t="s">
        <v>98</v>
      </c>
      <c r="D149" s="412">
        <v>45470</v>
      </c>
      <c r="E149" s="65" t="s">
        <v>473</v>
      </c>
      <c r="F149" s="208" t="str">
        <f>HYPERLINK(E149,A149)</f>
        <v>Petro Fortuna</v>
      </c>
      <c r="G149" s="38">
        <v>10</v>
      </c>
      <c r="H149" s="38">
        <v>5</v>
      </c>
      <c r="I149" s="11">
        <v>0.1</v>
      </c>
      <c r="J149" s="11">
        <v>25</v>
      </c>
      <c r="K149" s="11">
        <v>1</v>
      </c>
      <c r="L149" s="143">
        <v>52500</v>
      </c>
      <c r="M149" s="211" t="s">
        <v>305</v>
      </c>
      <c r="N149" s="143" t="s">
        <v>61</v>
      </c>
      <c r="O149" s="93" t="s">
        <v>216</v>
      </c>
      <c r="P149" s="93" t="s">
        <v>26</v>
      </c>
      <c r="Q149" s="56">
        <v>0.13189999999999999</v>
      </c>
      <c r="R149" s="60" t="s">
        <v>43</v>
      </c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ht="30.75">
      <c r="A150" s="7" t="s">
        <v>474</v>
      </c>
      <c r="B150" s="12" t="s">
        <v>77</v>
      </c>
      <c r="C150" s="14" t="s">
        <v>98</v>
      </c>
      <c r="D150" s="412">
        <v>45985</v>
      </c>
      <c r="E150" s="65" t="s">
        <v>475</v>
      </c>
      <c r="F150" s="208" t="str">
        <f>HYPERLINK(E150,A150)</f>
        <v>Piratas De China</v>
      </c>
      <c r="G150" s="38">
        <v>20</v>
      </c>
      <c r="H150" s="38">
        <v>5</v>
      </c>
      <c r="I150" s="11">
        <v>0.2</v>
      </c>
      <c r="J150" s="11">
        <v>20</v>
      </c>
      <c r="K150" s="15">
        <v>1</v>
      </c>
      <c r="L150" s="143">
        <v>42000</v>
      </c>
      <c r="M150" s="211" t="s">
        <v>107</v>
      </c>
      <c r="N150" s="143" t="s">
        <v>61</v>
      </c>
      <c r="O150" s="211" t="s">
        <v>476</v>
      </c>
      <c r="P150" s="211" t="s">
        <v>26</v>
      </c>
      <c r="Q150" s="56">
        <v>0.249</v>
      </c>
      <c r="R150" s="60" t="s">
        <v>43</v>
      </c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>
      <c r="A151" s="7" t="s">
        <v>477</v>
      </c>
      <c r="B151" s="12" t="s">
        <v>77</v>
      </c>
      <c r="C151" s="9" t="s">
        <v>20</v>
      </c>
      <c r="D151" s="412">
        <v>44536</v>
      </c>
      <c r="E151" s="65" t="s">
        <v>478</v>
      </c>
      <c r="F151" s="208" t="str">
        <f>HYPERLINK(E151,A151)</f>
        <v>Pocholo</v>
      </c>
      <c r="G151" s="38">
        <v>9</v>
      </c>
      <c r="H151" s="38">
        <v>3</v>
      </c>
      <c r="I151" s="11">
        <v>0.2</v>
      </c>
      <c r="J151" s="11">
        <v>15</v>
      </c>
      <c r="K151" s="11">
        <v>0.2</v>
      </c>
      <c r="L151" s="143">
        <v>15000</v>
      </c>
      <c r="M151" s="211" t="s">
        <v>84</v>
      </c>
      <c r="N151" s="143" t="s">
        <v>85</v>
      </c>
      <c r="O151" s="93" t="s">
        <v>86</v>
      </c>
      <c r="P151" s="93" t="s">
        <v>26</v>
      </c>
      <c r="Q151" s="56">
        <v>0.3322</v>
      </c>
      <c r="R151" s="60" t="s">
        <v>43</v>
      </c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>
      <c r="A152" s="7" t="s">
        <v>479</v>
      </c>
      <c r="B152" s="12" t="s">
        <v>77</v>
      </c>
      <c r="C152" s="9" t="s">
        <v>20</v>
      </c>
      <c r="D152" s="412">
        <v>43920</v>
      </c>
      <c r="E152" s="65" t="s">
        <v>480</v>
      </c>
      <c r="F152" s="208" t="str">
        <f>HYPERLINK(E152,A152)</f>
        <v>Popeye Cazatesoros</v>
      </c>
      <c r="G152" s="38">
        <v>9</v>
      </c>
      <c r="H152" s="38">
        <v>3</v>
      </c>
      <c r="I152" s="11">
        <v>0.2</v>
      </c>
      <c r="J152" s="11">
        <v>15</v>
      </c>
      <c r="K152" s="11">
        <v>0.2</v>
      </c>
      <c r="L152" s="143">
        <v>15000</v>
      </c>
      <c r="M152" s="211" t="s">
        <v>84</v>
      </c>
      <c r="N152" s="143" t="s">
        <v>85</v>
      </c>
      <c r="O152" s="93" t="s">
        <v>86</v>
      </c>
      <c r="P152" s="93" t="s">
        <v>26</v>
      </c>
      <c r="Q152" s="56">
        <v>0.30030000000000001</v>
      </c>
      <c r="R152" s="60" t="s">
        <v>43</v>
      </c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>
      <c r="A153" s="7" t="s">
        <v>481</v>
      </c>
      <c r="B153" s="12" t="s">
        <v>77</v>
      </c>
      <c r="C153" s="9" t="s">
        <v>20</v>
      </c>
      <c r="D153" s="412">
        <v>45561</v>
      </c>
      <c r="E153" s="65" t="s">
        <v>482</v>
      </c>
      <c r="F153" s="208" t="str">
        <f>HYPERLINK(E153,A153)</f>
        <v>Rf Africa Zero</v>
      </c>
      <c r="G153" s="38">
        <v>9</v>
      </c>
      <c r="H153" s="38">
        <v>3</v>
      </c>
      <c r="I153" s="11">
        <v>0.2</v>
      </c>
      <c r="J153" s="11">
        <v>15</v>
      </c>
      <c r="K153" s="11">
        <v>0.2</v>
      </c>
      <c r="L153" s="143">
        <v>15000</v>
      </c>
      <c r="M153" s="211" t="s">
        <v>84</v>
      </c>
      <c r="N153" s="143" t="s">
        <v>85</v>
      </c>
      <c r="O153" s="93" t="s">
        <v>86</v>
      </c>
      <c r="P153" s="93" t="s">
        <v>26</v>
      </c>
      <c r="Q153" s="56">
        <v>0.34449999999999997</v>
      </c>
      <c r="R153" s="60" t="s">
        <v>27</v>
      </c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>
      <c r="A154" s="7" t="s">
        <v>483</v>
      </c>
      <c r="B154" s="12" t="s">
        <v>77</v>
      </c>
      <c r="C154" s="9" t="s">
        <v>20</v>
      </c>
      <c r="D154" s="412">
        <v>44767</v>
      </c>
      <c r="E154" s="65" t="s">
        <v>484</v>
      </c>
      <c r="F154" s="208" t="str">
        <f>HYPERLINK(E154,A154)</f>
        <v>Rf Angels</v>
      </c>
      <c r="G154" s="38">
        <v>9</v>
      </c>
      <c r="H154" s="38">
        <v>3</v>
      </c>
      <c r="I154" s="11">
        <v>0.2</v>
      </c>
      <c r="J154" s="11">
        <v>15</v>
      </c>
      <c r="K154" s="11">
        <v>0.2</v>
      </c>
      <c r="L154" s="143">
        <v>15000</v>
      </c>
      <c r="M154" s="211" t="s">
        <v>84</v>
      </c>
      <c r="N154" s="143" t="s">
        <v>85</v>
      </c>
      <c r="O154" s="93" t="s">
        <v>86</v>
      </c>
      <c r="P154" s="93" t="s">
        <v>26</v>
      </c>
      <c r="Q154" s="56">
        <v>0.29320000000000002</v>
      </c>
      <c r="R154" s="60" t="s">
        <v>43</v>
      </c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>
      <c r="A155" s="7" t="s">
        <v>485</v>
      </c>
      <c r="B155" s="12" t="s">
        <v>77</v>
      </c>
      <c r="C155" s="9" t="s">
        <v>20</v>
      </c>
      <c r="D155" s="412">
        <v>44984</v>
      </c>
      <c r="E155" s="65" t="s">
        <v>486</v>
      </c>
      <c r="F155" s="208" t="str">
        <f>HYPERLINK(E155,A155)</f>
        <v>Rf Bowling</v>
      </c>
      <c r="G155" s="38">
        <v>9</v>
      </c>
      <c r="H155" s="38">
        <v>3</v>
      </c>
      <c r="I155" s="11">
        <v>0.2</v>
      </c>
      <c r="J155" s="11">
        <v>15</v>
      </c>
      <c r="K155" s="11">
        <v>0.2</v>
      </c>
      <c r="L155" s="143">
        <v>15000</v>
      </c>
      <c r="M155" s="211" t="s">
        <v>84</v>
      </c>
      <c r="N155" s="143" t="s">
        <v>85</v>
      </c>
      <c r="O155" s="93" t="s">
        <v>86</v>
      </c>
      <c r="P155" s="93" t="s">
        <v>26</v>
      </c>
      <c r="Q155" s="56">
        <v>0.28310000000000002</v>
      </c>
      <c r="R155" s="60" t="s">
        <v>43</v>
      </c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>
      <c r="A156" s="7" t="s">
        <v>487</v>
      </c>
      <c r="B156" s="12" t="s">
        <v>77</v>
      </c>
      <c r="C156" s="9" t="s">
        <v>20</v>
      </c>
      <c r="D156" s="412">
        <v>44886</v>
      </c>
      <c r="E156" s="65" t="s">
        <v>488</v>
      </c>
      <c r="F156" s="208" t="str">
        <f>HYPERLINK(E156,A156)</f>
        <v>Rf Burlesque</v>
      </c>
      <c r="G156" s="38">
        <v>9</v>
      </c>
      <c r="H156" s="38">
        <v>3</v>
      </c>
      <c r="I156" s="11">
        <v>0.2</v>
      </c>
      <c r="J156" s="11">
        <v>15</v>
      </c>
      <c r="K156" s="11">
        <v>0.2</v>
      </c>
      <c r="L156" s="143">
        <v>15000</v>
      </c>
      <c r="M156" s="211" t="s">
        <v>84</v>
      </c>
      <c r="N156" s="143" t="s">
        <v>85</v>
      </c>
      <c r="O156" s="93" t="s">
        <v>86</v>
      </c>
      <c r="P156" s="93" t="s">
        <v>26</v>
      </c>
      <c r="Q156" s="56">
        <v>0.30530000000000002</v>
      </c>
      <c r="R156" s="60" t="s">
        <v>43</v>
      </c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>
      <c r="A157" s="7" t="s">
        <v>489</v>
      </c>
      <c r="B157" s="12" t="s">
        <v>77</v>
      </c>
      <c r="C157" s="9" t="s">
        <v>20</v>
      </c>
      <c r="D157" s="412">
        <v>45264</v>
      </c>
      <c r="E157" s="65" t="s">
        <v>490</v>
      </c>
      <c r="F157" s="208" t="str">
        <f>HYPERLINK(E157,A157)</f>
        <v>Rf Cavernícola</v>
      </c>
      <c r="G157" s="38">
        <v>9</v>
      </c>
      <c r="H157" s="38">
        <v>3</v>
      </c>
      <c r="I157" s="11">
        <v>0.2</v>
      </c>
      <c r="J157" s="11">
        <v>15</v>
      </c>
      <c r="K157" s="11">
        <v>0.2</v>
      </c>
      <c r="L157" s="143">
        <v>15000</v>
      </c>
      <c r="M157" s="211" t="s">
        <v>84</v>
      </c>
      <c r="N157" s="143" t="s">
        <v>85</v>
      </c>
      <c r="O157" s="93" t="s">
        <v>86</v>
      </c>
      <c r="P157" s="93" t="s">
        <v>26</v>
      </c>
      <c r="Q157" s="56">
        <v>0.34449999999999997</v>
      </c>
      <c r="R157" s="60" t="s">
        <v>27</v>
      </c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>
      <c r="A158" s="7" t="s">
        <v>491</v>
      </c>
      <c r="B158" s="12" t="s">
        <v>77</v>
      </c>
      <c r="C158" s="9" t="s">
        <v>20</v>
      </c>
      <c r="D158" s="412">
        <v>45089</v>
      </c>
      <c r="E158" s="65" t="s">
        <v>240</v>
      </c>
      <c r="F158" s="208" t="str">
        <f>HYPERLINK(E158,A158)</f>
        <v>Rf El Habanero</v>
      </c>
      <c r="G158" s="38">
        <v>9</v>
      </c>
      <c r="H158" s="38">
        <v>3</v>
      </c>
      <c r="I158" s="11">
        <v>0.2</v>
      </c>
      <c r="J158" s="11">
        <v>15</v>
      </c>
      <c r="K158" s="11">
        <v>0.2</v>
      </c>
      <c r="L158" s="143">
        <v>15000</v>
      </c>
      <c r="M158" s="211" t="s">
        <v>84</v>
      </c>
      <c r="N158" s="143" t="s">
        <v>85</v>
      </c>
      <c r="O158" s="93" t="s">
        <v>86</v>
      </c>
      <c r="P158" s="93" t="s">
        <v>26</v>
      </c>
      <c r="Q158" s="56">
        <v>0.30880000000000002</v>
      </c>
      <c r="R158" s="60" t="s">
        <v>27</v>
      </c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>
      <c r="A159" s="7" t="s">
        <v>492</v>
      </c>
      <c r="B159" s="12" t="s">
        <v>77</v>
      </c>
      <c r="C159" s="9" t="s">
        <v>20</v>
      </c>
      <c r="D159" s="412">
        <v>44802</v>
      </c>
      <c r="E159" s="65" t="s">
        <v>493</v>
      </c>
      <c r="F159" s="208" t="str">
        <f>HYPERLINK(E159,A159)</f>
        <v>Rf Neopolis</v>
      </c>
      <c r="G159" s="38">
        <v>9</v>
      </c>
      <c r="H159" s="38">
        <v>3</v>
      </c>
      <c r="I159" s="11">
        <v>0.2</v>
      </c>
      <c r="J159" s="11">
        <v>15</v>
      </c>
      <c r="K159" s="11">
        <v>0.2</v>
      </c>
      <c r="L159" s="143">
        <v>15000</v>
      </c>
      <c r="M159" s="211" t="s">
        <v>84</v>
      </c>
      <c r="N159" s="143" t="s">
        <v>85</v>
      </c>
      <c r="O159" s="93" t="s">
        <v>86</v>
      </c>
      <c r="P159" s="93" t="s">
        <v>26</v>
      </c>
      <c r="Q159" s="56">
        <v>0.34560000000000002</v>
      </c>
      <c r="R159" s="60" t="s">
        <v>43</v>
      </c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>
      <c r="A160" s="381" t="s">
        <v>494</v>
      </c>
      <c r="B160" s="12" t="s">
        <v>77</v>
      </c>
      <c r="C160" s="415" t="s">
        <v>20</v>
      </c>
      <c r="D160" s="406">
        <v>46174</v>
      </c>
      <c r="E160" s="363" t="s">
        <v>495</v>
      </c>
      <c r="F160" s="349" t="s">
        <v>494</v>
      </c>
      <c r="G160" s="334">
        <v>9</v>
      </c>
      <c r="H160" s="334">
        <v>3</v>
      </c>
      <c r="I160" s="364">
        <v>0.2</v>
      </c>
      <c r="J160" s="364">
        <v>20</v>
      </c>
      <c r="K160" s="364">
        <v>0.2</v>
      </c>
      <c r="L160" s="364">
        <v>20000</v>
      </c>
      <c r="M160" s="334" t="s">
        <v>281</v>
      </c>
      <c r="N160" s="334" t="s">
        <v>138</v>
      </c>
      <c r="O160" s="334" t="s">
        <v>179</v>
      </c>
      <c r="P160" s="334" t="s">
        <v>26</v>
      </c>
      <c r="Q160" s="334" t="s">
        <v>496</v>
      </c>
      <c r="R160" s="339" t="s">
        <v>27</v>
      </c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>
      <c r="A161" s="7" t="s">
        <v>497</v>
      </c>
      <c r="B161" s="12" t="s">
        <v>77</v>
      </c>
      <c r="C161" s="9" t="s">
        <v>20</v>
      </c>
      <c r="D161" s="412">
        <v>45166</v>
      </c>
      <c r="E161" s="65" t="s">
        <v>498</v>
      </c>
      <c r="F161" s="208" t="str">
        <f>HYPERLINK(E161,A161)</f>
        <v>Rf Reinas De Africa Cleopatra</v>
      </c>
      <c r="G161" s="38">
        <v>9</v>
      </c>
      <c r="H161" s="38">
        <v>3</v>
      </c>
      <c r="I161" s="11">
        <v>0.2</v>
      </c>
      <c r="J161" s="11">
        <v>15</v>
      </c>
      <c r="K161" s="11">
        <v>0.2</v>
      </c>
      <c r="L161" s="143">
        <v>15000</v>
      </c>
      <c r="M161" s="211" t="s">
        <v>84</v>
      </c>
      <c r="N161" s="143" t="s">
        <v>85</v>
      </c>
      <c r="O161" s="93" t="s">
        <v>86</v>
      </c>
      <c r="P161" s="93" t="s">
        <v>26</v>
      </c>
      <c r="Q161" s="56">
        <v>0.34560000000000002</v>
      </c>
      <c r="R161" s="60" t="s">
        <v>43</v>
      </c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30.75">
      <c r="A162" s="7" t="s">
        <v>499</v>
      </c>
      <c r="B162" s="12" t="s">
        <v>77</v>
      </c>
      <c r="C162" s="9" t="s">
        <v>20</v>
      </c>
      <c r="D162" s="412">
        <v>45320</v>
      </c>
      <c r="E162" s="65" t="s">
        <v>500</v>
      </c>
      <c r="F162" s="208" t="str">
        <f>HYPERLINK(E162,A162)</f>
        <v>Riquezas De La Alquimia</v>
      </c>
      <c r="G162" s="38">
        <v>25</v>
      </c>
      <c r="H162" s="38">
        <v>5</v>
      </c>
      <c r="I162" s="11">
        <v>0.25</v>
      </c>
      <c r="J162" s="11">
        <v>25</v>
      </c>
      <c r="K162" s="11">
        <v>2.5</v>
      </c>
      <c r="L162" s="143">
        <v>50000</v>
      </c>
      <c r="M162" s="211" t="s">
        <v>102</v>
      </c>
      <c r="N162" s="143" t="s">
        <v>501</v>
      </c>
      <c r="O162" s="93" t="s">
        <v>502</v>
      </c>
      <c r="P162" s="93" t="s">
        <v>26</v>
      </c>
      <c r="Q162" s="56">
        <v>0.3584</v>
      </c>
      <c r="R162" s="60" t="s">
        <v>39</v>
      </c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ht="30.75">
      <c r="A163" s="7" t="s">
        <v>503</v>
      </c>
      <c r="B163" s="12" t="s">
        <v>77</v>
      </c>
      <c r="C163" s="9" t="s">
        <v>20</v>
      </c>
      <c r="D163" s="412">
        <v>45201</v>
      </c>
      <c r="E163" s="65" t="s">
        <v>504</v>
      </c>
      <c r="F163" s="208" t="str">
        <f>HYPERLINK(E163,A163)</f>
        <v>Riquezas Del Faraon</v>
      </c>
      <c r="G163" s="38">
        <v>243</v>
      </c>
      <c r="H163" s="38">
        <v>5</v>
      </c>
      <c r="I163" s="11">
        <v>0.3</v>
      </c>
      <c r="J163" s="11">
        <v>6</v>
      </c>
      <c r="K163" s="11">
        <v>0.9</v>
      </c>
      <c r="L163" s="143">
        <v>38100</v>
      </c>
      <c r="M163" s="211" t="s">
        <v>79</v>
      </c>
      <c r="N163" s="143" t="s">
        <v>80</v>
      </c>
      <c r="O163" s="93" t="s">
        <v>81</v>
      </c>
      <c r="P163" s="93" t="s">
        <v>26</v>
      </c>
      <c r="Q163" s="56">
        <v>0.29220000000000002</v>
      </c>
      <c r="R163" s="60" t="s">
        <v>27</v>
      </c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>
      <c r="A164" s="7" t="s">
        <v>505</v>
      </c>
      <c r="B164" s="12" t="s">
        <v>77</v>
      </c>
      <c r="C164" s="9" t="s">
        <v>20</v>
      </c>
      <c r="D164" s="412">
        <v>44340</v>
      </c>
      <c r="E164" s="65" t="s">
        <v>506</v>
      </c>
      <c r="F164" s="208" t="str">
        <f>HYPERLINK(E164,A164)</f>
        <v>Risistas En Gansters</v>
      </c>
      <c r="G164" s="38">
        <v>9</v>
      </c>
      <c r="H164" s="38">
        <v>3</v>
      </c>
      <c r="I164" s="11">
        <v>0.2</v>
      </c>
      <c r="J164" s="11">
        <v>10</v>
      </c>
      <c r="K164" s="11">
        <v>0.2</v>
      </c>
      <c r="L164" s="143">
        <v>10000</v>
      </c>
      <c r="M164" s="211" t="s">
        <v>361</v>
      </c>
      <c r="N164" s="143" t="s">
        <v>85</v>
      </c>
      <c r="O164" s="93" t="s">
        <v>86</v>
      </c>
      <c r="P164" s="93" t="s">
        <v>26</v>
      </c>
      <c r="Q164" s="56">
        <v>0.30049999999999999</v>
      </c>
      <c r="R164" s="60" t="s">
        <v>43</v>
      </c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>
      <c r="A165" s="7" t="s">
        <v>507</v>
      </c>
      <c r="B165" s="12" t="s">
        <v>77</v>
      </c>
      <c r="C165" s="14" t="s">
        <v>98</v>
      </c>
      <c r="D165" s="412">
        <v>43101</v>
      </c>
      <c r="E165" s="65" t="s">
        <v>508</v>
      </c>
      <c r="F165" s="208" t="str">
        <f>HYPERLINK(E165,A165)</f>
        <v>Robin</v>
      </c>
      <c r="G165" s="38">
        <v>9</v>
      </c>
      <c r="H165" s="38">
        <v>3</v>
      </c>
      <c r="I165" s="11">
        <v>0.2</v>
      </c>
      <c r="J165" s="11">
        <v>2</v>
      </c>
      <c r="K165" s="11">
        <v>1</v>
      </c>
      <c r="L165" s="143">
        <v>2000</v>
      </c>
      <c r="M165" s="421" t="s">
        <v>131</v>
      </c>
      <c r="N165" s="143" t="s">
        <v>85</v>
      </c>
      <c r="O165" s="422">
        <v>0.9</v>
      </c>
      <c r="P165" s="422" t="s">
        <v>26</v>
      </c>
      <c r="Q165" s="56">
        <v>0.29070000000000001</v>
      </c>
      <c r="R165" s="60" t="s">
        <v>43</v>
      </c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>
      <c r="A166" s="7" t="s">
        <v>509</v>
      </c>
      <c r="B166" s="12" t="s">
        <v>77</v>
      </c>
      <c r="C166" s="14" t="s">
        <v>98</v>
      </c>
      <c r="D166" s="412">
        <v>42069</v>
      </c>
      <c r="E166" s="65" t="s">
        <v>510</v>
      </c>
      <c r="F166" s="208" t="str">
        <f>HYPERLINK(E166,A166)</f>
        <v>Roma</v>
      </c>
      <c r="G166" s="38">
        <v>9</v>
      </c>
      <c r="H166" s="38">
        <v>3</v>
      </c>
      <c r="I166" s="11">
        <v>0.2</v>
      </c>
      <c r="J166" s="11">
        <v>1</v>
      </c>
      <c r="K166" s="11">
        <v>1</v>
      </c>
      <c r="L166" s="143">
        <v>1000</v>
      </c>
      <c r="M166" s="421" t="s">
        <v>143</v>
      </c>
      <c r="N166" s="143" t="s">
        <v>85</v>
      </c>
      <c r="O166" s="422">
        <v>0.9</v>
      </c>
      <c r="P166" s="422" t="s">
        <v>26</v>
      </c>
      <c r="Q166" s="56">
        <v>0.21740000000000001</v>
      </c>
      <c r="R166" s="60" t="s">
        <v>43</v>
      </c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>
      <c r="A167" s="7" t="s">
        <v>511</v>
      </c>
      <c r="B167" s="12" t="s">
        <v>77</v>
      </c>
      <c r="C167" s="9" t="s">
        <v>20</v>
      </c>
      <c r="D167" s="412">
        <v>44949</v>
      </c>
      <c r="E167" s="65" t="s">
        <v>512</v>
      </c>
      <c r="F167" s="208" t="str">
        <f>HYPERLINK(E167,A167)</f>
        <v>Roma Plus</v>
      </c>
      <c r="G167" s="38">
        <v>9</v>
      </c>
      <c r="H167" s="38">
        <v>3</v>
      </c>
      <c r="I167" s="11">
        <v>0.2</v>
      </c>
      <c r="J167" s="11">
        <v>15</v>
      </c>
      <c r="K167" s="11">
        <v>0.2</v>
      </c>
      <c r="L167" s="143">
        <v>15000</v>
      </c>
      <c r="M167" s="211" t="s">
        <v>84</v>
      </c>
      <c r="N167" s="143" t="s">
        <v>85</v>
      </c>
      <c r="O167" s="93" t="s">
        <v>86</v>
      </c>
      <c r="P167" s="93" t="s">
        <v>26</v>
      </c>
      <c r="Q167" s="56">
        <v>0.2702</v>
      </c>
      <c r="R167" s="60" t="s">
        <v>43</v>
      </c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>
      <c r="A168" s="7" t="s">
        <v>513</v>
      </c>
      <c r="B168" s="12" t="s">
        <v>77</v>
      </c>
      <c r="C168" s="9" t="s">
        <v>20</v>
      </c>
      <c r="D168" s="412">
        <v>45803</v>
      </c>
      <c r="E168" s="65" t="s">
        <v>514</v>
      </c>
      <c r="F168" s="208" t="str">
        <f>HYPERLINK(E168,A168)</f>
        <v>Royal Bank Golden Edition</v>
      </c>
      <c r="G168" s="38">
        <v>9</v>
      </c>
      <c r="H168" s="38">
        <v>3</v>
      </c>
      <c r="I168" s="11">
        <v>0.2</v>
      </c>
      <c r="J168" s="11">
        <v>20</v>
      </c>
      <c r="K168" s="11">
        <v>0.2</v>
      </c>
      <c r="L168" s="143">
        <v>20000</v>
      </c>
      <c r="M168" s="211" t="s">
        <v>314</v>
      </c>
      <c r="N168" s="143" t="s">
        <v>85</v>
      </c>
      <c r="O168" s="93" t="s">
        <v>86</v>
      </c>
      <c r="P168" s="93" t="s">
        <v>26</v>
      </c>
      <c r="Q168" s="56">
        <v>0.25319999999999998</v>
      </c>
      <c r="R168" s="60" t="s">
        <v>27</v>
      </c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ht="30.75">
      <c r="A169" s="7" t="s">
        <v>515</v>
      </c>
      <c r="B169" s="12" t="s">
        <v>77</v>
      </c>
      <c r="C169" s="9" t="s">
        <v>20</v>
      </c>
      <c r="D169" s="412">
        <v>44032</v>
      </c>
      <c r="E169" s="65" t="s">
        <v>516</v>
      </c>
      <c r="F169" s="208" t="str">
        <f>HYPERLINK(E169,A169)</f>
        <v>Samantha Fox</v>
      </c>
      <c r="G169" s="38">
        <v>25</v>
      </c>
      <c r="H169" s="38">
        <v>5</v>
      </c>
      <c r="I169" s="11">
        <v>0.25</v>
      </c>
      <c r="J169" s="11">
        <v>25</v>
      </c>
      <c r="K169" s="11">
        <v>2.5</v>
      </c>
      <c r="L169" s="143">
        <v>27000</v>
      </c>
      <c r="M169" s="211" t="s">
        <v>102</v>
      </c>
      <c r="N169" s="143" t="s">
        <v>147</v>
      </c>
      <c r="O169" s="93" t="s">
        <v>517</v>
      </c>
      <c r="P169" s="93" t="s">
        <v>26</v>
      </c>
      <c r="Q169" s="56">
        <v>0.30209999999999998</v>
      </c>
      <c r="R169" s="60" t="s">
        <v>43</v>
      </c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>
      <c r="A170" s="7" t="s">
        <v>518</v>
      </c>
      <c r="B170" s="12" t="s">
        <v>77</v>
      </c>
      <c r="C170" s="9" t="s">
        <v>20</v>
      </c>
      <c r="D170" s="412">
        <v>45005</v>
      </c>
      <c r="E170" s="65" t="s">
        <v>519</v>
      </c>
      <c r="F170" s="208" t="str">
        <f>HYPERLINK(E170,A170)</f>
        <v>Samantha Fox Arcade</v>
      </c>
      <c r="G170" s="38">
        <v>9</v>
      </c>
      <c r="H170" s="38">
        <v>3</v>
      </c>
      <c r="I170" s="11">
        <v>0.2</v>
      </c>
      <c r="J170" s="11">
        <v>15</v>
      </c>
      <c r="K170" s="11">
        <v>0.2</v>
      </c>
      <c r="L170" s="143">
        <v>15000</v>
      </c>
      <c r="M170" s="211" t="s">
        <v>84</v>
      </c>
      <c r="N170" s="143" t="s">
        <v>85</v>
      </c>
      <c r="O170" s="93" t="s">
        <v>86</v>
      </c>
      <c r="P170" s="93" t="s">
        <v>26</v>
      </c>
      <c r="Q170" s="56">
        <v>0.40760000000000002</v>
      </c>
      <c r="R170" s="60" t="s">
        <v>32</v>
      </c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ht="60.75">
      <c r="A171" s="7" t="s">
        <v>520</v>
      </c>
      <c r="B171" s="12" t="s">
        <v>77</v>
      </c>
      <c r="C171" s="9" t="s">
        <v>20</v>
      </c>
      <c r="D171" s="412">
        <v>44151</v>
      </c>
      <c r="E171" s="65" t="s">
        <v>521</v>
      </c>
      <c r="F171" s="208" t="str">
        <f>HYPERLINK(E171,A171)</f>
        <v>Sandro Rey</v>
      </c>
      <c r="G171" s="39">
        <v>20</v>
      </c>
      <c r="H171" s="39">
        <v>5</v>
      </c>
      <c r="I171" s="11">
        <v>0.2</v>
      </c>
      <c r="J171" s="15">
        <v>25</v>
      </c>
      <c r="K171" s="15">
        <v>1</v>
      </c>
      <c r="L171" s="259" t="s">
        <v>522</v>
      </c>
      <c r="M171" s="211" t="s">
        <v>126</v>
      </c>
      <c r="N171" s="143" t="s">
        <v>113</v>
      </c>
      <c r="O171" s="93" t="s">
        <v>114</v>
      </c>
      <c r="P171" s="93" t="s">
        <v>26</v>
      </c>
      <c r="Q171" s="29">
        <v>0.34989999999999999</v>
      </c>
      <c r="R171" s="61" t="s">
        <v>43</v>
      </c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>
      <c r="A172" s="7" t="s">
        <v>523</v>
      </c>
      <c r="B172" s="12" t="s">
        <v>77</v>
      </c>
      <c r="C172" s="14" t="s">
        <v>98</v>
      </c>
      <c r="D172" s="412">
        <v>44648</v>
      </c>
      <c r="E172" s="65" t="s">
        <v>524</v>
      </c>
      <c r="F172" s="208" t="str">
        <f>HYPERLINK(E172,A172)</f>
        <v>Santa Fe Mix</v>
      </c>
      <c r="G172" s="38">
        <v>9</v>
      </c>
      <c r="H172" s="38">
        <v>3</v>
      </c>
      <c r="I172" s="11">
        <v>0.2</v>
      </c>
      <c r="J172" s="11">
        <v>15</v>
      </c>
      <c r="K172" s="11">
        <v>0.2</v>
      </c>
      <c r="L172" s="143">
        <v>15000</v>
      </c>
      <c r="M172" s="211" t="s">
        <v>84</v>
      </c>
      <c r="N172" s="143" t="s">
        <v>85</v>
      </c>
      <c r="O172" s="93" t="s">
        <v>170</v>
      </c>
      <c r="P172" s="93" t="s">
        <v>26</v>
      </c>
      <c r="Q172" s="56">
        <v>0.14649999999999999</v>
      </c>
      <c r="R172" s="60" t="s">
        <v>43</v>
      </c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>
      <c r="A173" s="7" t="s">
        <v>525</v>
      </c>
      <c r="B173" s="12" t="s">
        <v>77</v>
      </c>
      <c r="C173" s="14" t="s">
        <v>98</v>
      </c>
      <c r="D173" s="412">
        <v>45957</v>
      </c>
      <c r="E173" s="65" t="s">
        <v>526</v>
      </c>
      <c r="F173" s="208" t="str">
        <f>HYPERLINK(E173,A173)</f>
        <v>Santa Fe Mix Golden Edition</v>
      </c>
      <c r="G173" s="38">
        <v>9</v>
      </c>
      <c r="H173" s="38">
        <v>3</v>
      </c>
      <c r="I173" s="11">
        <v>0.2</v>
      </c>
      <c r="J173" s="11">
        <v>20</v>
      </c>
      <c r="K173" s="11"/>
      <c r="L173" s="143">
        <v>20000</v>
      </c>
      <c r="M173" s="211" t="s">
        <v>314</v>
      </c>
      <c r="N173" s="143" t="s">
        <v>85</v>
      </c>
      <c r="O173" s="93" t="s">
        <v>86</v>
      </c>
      <c r="P173" s="93" t="s">
        <v>26</v>
      </c>
      <c r="Q173" s="56">
        <v>0.25509999999999999</v>
      </c>
      <c r="R173" s="60" t="s">
        <v>27</v>
      </c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>
      <c r="A174" s="7" t="s">
        <v>527</v>
      </c>
      <c r="B174" s="12" t="s">
        <v>77</v>
      </c>
      <c r="C174" s="14" t="s">
        <v>98</v>
      </c>
      <c r="D174" s="412">
        <v>43101</v>
      </c>
      <c r="E174" s="65" t="s">
        <v>528</v>
      </c>
      <c r="F174" s="208" t="str">
        <f>HYPERLINK(E174,A174)</f>
        <v>Sirenas De La Suerte</v>
      </c>
      <c r="G174" s="38">
        <v>9</v>
      </c>
      <c r="H174" s="38">
        <v>3</v>
      </c>
      <c r="I174" s="11">
        <v>0.2</v>
      </c>
      <c r="J174" s="11">
        <v>2</v>
      </c>
      <c r="K174" s="11">
        <v>1</v>
      </c>
      <c r="L174" s="143">
        <v>2000</v>
      </c>
      <c r="M174" s="421" t="s">
        <v>131</v>
      </c>
      <c r="N174" s="143" t="s">
        <v>85</v>
      </c>
      <c r="O174" s="422">
        <v>0.9</v>
      </c>
      <c r="P174" s="422" t="s">
        <v>26</v>
      </c>
      <c r="Q174" s="56">
        <v>0.14080000000000001</v>
      </c>
      <c r="R174" s="60" t="s">
        <v>43</v>
      </c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ht="76.5">
      <c r="A175" s="7" t="s">
        <v>529</v>
      </c>
      <c r="B175" s="12" t="s">
        <v>77</v>
      </c>
      <c r="C175" s="9" t="s">
        <v>20</v>
      </c>
      <c r="D175" s="412">
        <v>44907</v>
      </c>
      <c r="E175" s="65" t="s">
        <v>530</v>
      </c>
      <c r="F175" s="208" t="str">
        <f>HYPERLINK(E175,A175)</f>
        <v>Sonia Monroy El Planeta De Las Gemas</v>
      </c>
      <c r="G175" s="38">
        <v>20</v>
      </c>
      <c r="H175" s="38">
        <v>5</v>
      </c>
      <c r="I175" s="11">
        <v>0.2</v>
      </c>
      <c r="J175" s="11">
        <v>25</v>
      </c>
      <c r="K175" s="11">
        <v>1</v>
      </c>
      <c r="L175" s="143" t="s">
        <v>531</v>
      </c>
      <c r="M175" s="211" t="s">
        <v>126</v>
      </c>
      <c r="N175" s="143" t="s">
        <v>532</v>
      </c>
      <c r="O175" s="93" t="s">
        <v>205</v>
      </c>
      <c r="P175" s="93" t="s">
        <v>26</v>
      </c>
      <c r="Q175" s="56">
        <v>0.30299999999999999</v>
      </c>
      <c r="R175" s="60" t="s">
        <v>43</v>
      </c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ht="60.75">
      <c r="A176" s="7" t="s">
        <v>533</v>
      </c>
      <c r="B176" s="12" t="s">
        <v>77</v>
      </c>
      <c r="C176" s="9" t="s">
        <v>20</v>
      </c>
      <c r="D176" s="412">
        <v>45222</v>
      </c>
      <c r="E176" s="65" t="s">
        <v>534</v>
      </c>
      <c r="F176" s="208" t="str">
        <f>HYPERLINK(E176,A176)</f>
        <v>Sonia Monroy En El Planeta Halloween</v>
      </c>
      <c r="G176" s="40">
        <v>20</v>
      </c>
      <c r="H176" s="40">
        <v>5</v>
      </c>
      <c r="I176" s="20">
        <v>0.2</v>
      </c>
      <c r="J176" s="20">
        <v>25</v>
      </c>
      <c r="K176" s="20">
        <v>1</v>
      </c>
      <c r="L176" s="261" t="s">
        <v>290</v>
      </c>
      <c r="M176" s="428" t="s">
        <v>126</v>
      </c>
      <c r="N176" s="143" t="s">
        <v>291</v>
      </c>
      <c r="O176" s="429" t="s">
        <v>292</v>
      </c>
      <c r="P176" s="429" t="s">
        <v>26</v>
      </c>
      <c r="Q176" s="56">
        <v>0.30299999999999999</v>
      </c>
      <c r="R176" s="60" t="s">
        <v>43</v>
      </c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ht="76.5">
      <c r="A177" s="7" t="s">
        <v>535</v>
      </c>
      <c r="B177" s="12" t="s">
        <v>77</v>
      </c>
      <c r="C177" s="9" t="s">
        <v>20</v>
      </c>
      <c r="D177" s="412">
        <v>45273</v>
      </c>
      <c r="E177" s="65" t="s">
        <v>536</v>
      </c>
      <c r="F177" s="208" t="str">
        <f>HYPERLINK(E177,A177)</f>
        <v>Sonia Monroy En El Planeta Navidad</v>
      </c>
      <c r="G177" s="38">
        <v>20</v>
      </c>
      <c r="H177" s="38">
        <v>5</v>
      </c>
      <c r="I177" s="11">
        <v>0.2</v>
      </c>
      <c r="J177" s="11">
        <v>25</v>
      </c>
      <c r="K177" s="11">
        <v>1</v>
      </c>
      <c r="L177" s="143" t="s">
        <v>531</v>
      </c>
      <c r="M177" s="211" t="s">
        <v>126</v>
      </c>
      <c r="N177" s="143" t="s">
        <v>532</v>
      </c>
      <c r="O177" s="93" t="s">
        <v>205</v>
      </c>
      <c r="P177" s="93" t="s">
        <v>26</v>
      </c>
      <c r="Q177" s="56">
        <v>0.30299999999999999</v>
      </c>
      <c r="R177" s="60" t="s">
        <v>43</v>
      </c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>
      <c r="A178" s="7" t="s">
        <v>537</v>
      </c>
      <c r="B178" s="12" t="s">
        <v>77</v>
      </c>
      <c r="C178" s="14" t="s">
        <v>98</v>
      </c>
      <c r="D178" s="412">
        <v>43857</v>
      </c>
      <c r="E178" s="65" t="s">
        <v>538</v>
      </c>
      <c r="F178" s="208" t="str">
        <f>HYPERLINK(E178,A178)</f>
        <v>Super Detectives</v>
      </c>
      <c r="G178" s="38">
        <v>9</v>
      </c>
      <c r="H178" s="38">
        <v>3</v>
      </c>
      <c r="I178" s="11">
        <v>0.2</v>
      </c>
      <c r="J178" s="11">
        <v>10</v>
      </c>
      <c r="K178" s="11">
        <v>0.2</v>
      </c>
      <c r="L178" s="143">
        <v>10000</v>
      </c>
      <c r="M178" s="211" t="s">
        <v>93</v>
      </c>
      <c r="N178" s="143" t="s">
        <v>85</v>
      </c>
      <c r="O178" s="93" t="s">
        <v>86</v>
      </c>
      <c r="P178" s="93" t="s">
        <v>26</v>
      </c>
      <c r="Q178" s="56">
        <v>0.30030000000000001</v>
      </c>
      <c r="R178" s="60" t="s">
        <v>43</v>
      </c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>
      <c r="A179" s="7" t="s">
        <v>539</v>
      </c>
      <c r="B179" s="12" t="s">
        <v>77</v>
      </c>
      <c r="C179" s="14" t="s">
        <v>98</v>
      </c>
      <c r="D179" s="412">
        <v>45831</v>
      </c>
      <c r="E179" s="65" t="s">
        <v>540</v>
      </c>
      <c r="F179" s="208" t="str">
        <f>HYPERLINK(E179,A179)</f>
        <v>Tiki Paradise</v>
      </c>
      <c r="G179" s="38">
        <v>9</v>
      </c>
      <c r="H179" s="38">
        <v>3</v>
      </c>
      <c r="I179" s="11">
        <v>0.2</v>
      </c>
      <c r="J179" s="11">
        <v>15</v>
      </c>
      <c r="K179" s="11">
        <v>0.2</v>
      </c>
      <c r="L179" s="143">
        <v>15000</v>
      </c>
      <c r="M179" s="211" t="s">
        <v>84</v>
      </c>
      <c r="N179" s="143" t="s">
        <v>85</v>
      </c>
      <c r="O179" s="93" t="s">
        <v>86</v>
      </c>
      <c r="P179" s="93" t="s">
        <v>26</v>
      </c>
      <c r="Q179" s="56">
        <v>0.19919999999999999</v>
      </c>
      <c r="R179" s="60" t="s">
        <v>43</v>
      </c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s="36" customFormat="1" ht="30.75">
      <c r="A180" s="7" t="s">
        <v>541</v>
      </c>
      <c r="B180" s="12" t="s">
        <v>77</v>
      </c>
      <c r="C180" s="14" t="s">
        <v>98</v>
      </c>
      <c r="D180" s="412">
        <v>45194</v>
      </c>
      <c r="E180" s="65" t="s">
        <v>542</v>
      </c>
      <c r="F180" s="208" t="str">
        <f>HYPERLINK(E180,A180)</f>
        <v>Venecia De La Suerte</v>
      </c>
      <c r="G180" s="38">
        <v>243</v>
      </c>
      <c r="H180" s="38">
        <v>5</v>
      </c>
      <c r="I180" s="11">
        <v>0.3</v>
      </c>
      <c r="J180" s="11">
        <v>6</v>
      </c>
      <c r="K180" s="11">
        <v>0.9</v>
      </c>
      <c r="L180" s="143">
        <v>36000</v>
      </c>
      <c r="M180" s="211" t="s">
        <v>79</v>
      </c>
      <c r="N180" s="143" t="s">
        <v>543</v>
      </c>
      <c r="O180" s="93" t="s">
        <v>437</v>
      </c>
      <c r="P180" s="93" t="s">
        <v>26</v>
      </c>
      <c r="Q180" s="56">
        <v>0.30769999999999997</v>
      </c>
      <c r="R180" s="60" t="s">
        <v>43</v>
      </c>
    </row>
    <row r="181" spans="1:30" s="36" customFormat="1">
      <c r="A181" s="7" t="s">
        <v>544</v>
      </c>
      <c r="B181" s="12" t="s">
        <v>77</v>
      </c>
      <c r="C181" s="9" t="s">
        <v>20</v>
      </c>
      <c r="D181" s="412">
        <v>43497</v>
      </c>
      <c r="E181" s="65" t="s">
        <v>545</v>
      </c>
      <c r="F181" s="208" t="str">
        <f>HYPERLINK(E181,A181)</f>
        <v>Vikingos Gold</v>
      </c>
      <c r="G181" s="38">
        <v>9</v>
      </c>
      <c r="H181" s="38">
        <v>3</v>
      </c>
      <c r="I181" s="11">
        <v>0.2</v>
      </c>
      <c r="J181" s="11">
        <v>10</v>
      </c>
      <c r="K181" s="11">
        <v>1</v>
      </c>
      <c r="L181" s="143">
        <v>10000</v>
      </c>
      <c r="M181" s="211" t="s">
        <v>93</v>
      </c>
      <c r="N181" s="143" t="s">
        <v>85</v>
      </c>
      <c r="O181" s="93" t="s">
        <v>86</v>
      </c>
      <c r="P181" s="93" t="s">
        <v>26</v>
      </c>
      <c r="Q181" s="56">
        <v>0.37169999999999997</v>
      </c>
      <c r="R181" s="60" t="s">
        <v>43</v>
      </c>
    </row>
    <row r="182" spans="1:30" s="36" customFormat="1">
      <c r="A182" s="7" t="s">
        <v>546</v>
      </c>
      <c r="B182" s="12" t="s">
        <v>77</v>
      </c>
      <c r="C182" s="9" t="s">
        <v>20</v>
      </c>
      <c r="D182" s="412">
        <v>44865</v>
      </c>
      <c r="E182" s="65" t="s">
        <v>547</v>
      </c>
      <c r="F182" s="208" t="str">
        <f>HYPERLINK(E182,A182)</f>
        <v>Vikingos Gold Plus</v>
      </c>
      <c r="G182" s="38">
        <v>9</v>
      </c>
      <c r="H182" s="38">
        <v>3</v>
      </c>
      <c r="I182" s="11">
        <v>0.2</v>
      </c>
      <c r="J182" s="11">
        <v>15</v>
      </c>
      <c r="K182" s="11">
        <v>0.2</v>
      </c>
      <c r="L182" s="143">
        <v>15000</v>
      </c>
      <c r="M182" s="211" t="s">
        <v>84</v>
      </c>
      <c r="N182" s="143" t="s">
        <v>85</v>
      </c>
      <c r="O182" s="93" t="s">
        <v>86</v>
      </c>
      <c r="P182" s="93" t="s">
        <v>26</v>
      </c>
      <c r="Q182" s="56">
        <v>0.28889999999999999</v>
      </c>
      <c r="R182" s="60" t="s">
        <v>43</v>
      </c>
    </row>
    <row r="183" spans="1:30" s="36" customFormat="1">
      <c r="A183" s="7" t="s">
        <v>548</v>
      </c>
      <c r="B183" s="12" t="s">
        <v>77</v>
      </c>
      <c r="C183" s="14" t="s">
        <v>98</v>
      </c>
      <c r="D183" s="412">
        <v>45441</v>
      </c>
      <c r="E183" s="65" t="s">
        <v>549</v>
      </c>
      <c r="F183" s="208" t="str">
        <f>HYPERLINK(E183,A183)</f>
        <v>Viva La Fiesta En Mexico</v>
      </c>
      <c r="G183" s="38">
        <v>9</v>
      </c>
      <c r="H183" s="38">
        <v>3</v>
      </c>
      <c r="I183" s="11">
        <v>0.2</v>
      </c>
      <c r="J183" s="11">
        <v>15</v>
      </c>
      <c r="K183" s="11">
        <v>0.2</v>
      </c>
      <c r="L183" s="143">
        <v>15000</v>
      </c>
      <c r="M183" s="211" t="s">
        <v>84</v>
      </c>
      <c r="N183" s="143" t="s">
        <v>85</v>
      </c>
      <c r="O183" s="93" t="s">
        <v>86</v>
      </c>
      <c r="P183" s="93" t="s">
        <v>26</v>
      </c>
      <c r="Q183" s="29">
        <v>0.3422</v>
      </c>
      <c r="R183" s="60" t="s">
        <v>43</v>
      </c>
    </row>
    <row r="184" spans="1:30">
      <c r="A184" s="7" t="s">
        <v>550</v>
      </c>
      <c r="B184" s="12" t="s">
        <v>77</v>
      </c>
      <c r="C184" s="14" t="s">
        <v>98</v>
      </c>
      <c r="D184" s="412">
        <v>43101</v>
      </c>
      <c r="E184" s="65" t="s">
        <v>551</v>
      </c>
      <c r="F184" s="208" t="str">
        <f>HYPERLINK(E184,A184)</f>
        <v>Volcano</v>
      </c>
      <c r="G184" s="38">
        <v>9</v>
      </c>
      <c r="H184" s="38">
        <v>3</v>
      </c>
      <c r="I184" s="11">
        <v>0.2</v>
      </c>
      <c r="J184" s="11">
        <v>1</v>
      </c>
      <c r="K184" s="11">
        <v>1</v>
      </c>
      <c r="L184" s="143">
        <v>1000</v>
      </c>
      <c r="M184" s="421" t="s">
        <v>383</v>
      </c>
      <c r="N184" s="143" t="s">
        <v>85</v>
      </c>
      <c r="O184" s="422">
        <v>0.9</v>
      </c>
      <c r="P184" s="422" t="s">
        <v>26</v>
      </c>
      <c r="Q184" s="56">
        <v>0.24329999999999999</v>
      </c>
      <c r="R184" s="60" t="s">
        <v>43</v>
      </c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ht="30.75">
      <c r="A185" s="7" t="s">
        <v>552</v>
      </c>
      <c r="B185" s="12" t="s">
        <v>77</v>
      </c>
      <c r="C185" s="14" t="s">
        <v>98</v>
      </c>
      <c r="D185" s="412">
        <v>43101</v>
      </c>
      <c r="E185" s="65" t="s">
        <v>553</v>
      </c>
      <c r="F185" s="208" t="str">
        <f>HYPERLINK(E185,A185)</f>
        <v>Wild Africa</v>
      </c>
      <c r="G185" s="38">
        <v>20</v>
      </c>
      <c r="H185" s="38">
        <v>5</v>
      </c>
      <c r="I185" s="11">
        <v>0.2</v>
      </c>
      <c r="J185" s="11">
        <v>25</v>
      </c>
      <c r="K185" s="11">
        <v>1</v>
      </c>
      <c r="L185" s="143">
        <v>18750</v>
      </c>
      <c r="M185" s="211" t="s">
        <v>554</v>
      </c>
      <c r="N185" s="143" t="s">
        <v>127</v>
      </c>
      <c r="O185" s="93" t="s">
        <v>555</v>
      </c>
      <c r="P185" s="93" t="s">
        <v>26</v>
      </c>
      <c r="Q185" s="56">
        <v>0.41670000000000001</v>
      </c>
      <c r="R185" s="60" t="s">
        <v>43</v>
      </c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ht="137.25">
      <c r="A186" s="7" t="s">
        <v>556</v>
      </c>
      <c r="B186" s="12" t="s">
        <v>77</v>
      </c>
      <c r="C186" s="9" t="s">
        <v>20</v>
      </c>
      <c r="D186" s="412">
        <v>44361</v>
      </c>
      <c r="E186" s="65" t="s">
        <v>557</v>
      </c>
      <c r="F186" s="208" t="str">
        <f>HYPERLINK(E186,A186)</f>
        <v>Yohanna Alonso Vikings Conquest</v>
      </c>
      <c r="G186" s="38">
        <v>10</v>
      </c>
      <c r="H186" s="38">
        <v>5</v>
      </c>
      <c r="I186" s="11">
        <v>0.1</v>
      </c>
      <c r="J186" s="11">
        <v>25</v>
      </c>
      <c r="K186" s="11">
        <v>1</v>
      </c>
      <c r="L186" s="143" t="s">
        <v>558</v>
      </c>
      <c r="M186" s="211" t="s">
        <v>305</v>
      </c>
      <c r="N186" s="143" t="s">
        <v>559</v>
      </c>
      <c r="O186" s="93" t="s">
        <v>560</v>
      </c>
      <c r="P186" s="93" t="s">
        <v>26</v>
      </c>
      <c r="Q186" s="56">
        <v>0.22120000000000001</v>
      </c>
      <c r="R186" s="60" t="s">
        <v>32</v>
      </c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>
      <c r="A187" s="7" t="s">
        <v>561</v>
      </c>
      <c r="B187" s="12" t="s">
        <v>77</v>
      </c>
      <c r="C187" s="14" t="s">
        <v>20</v>
      </c>
      <c r="D187" s="412">
        <v>46006</v>
      </c>
      <c r="E187" s="65" t="s">
        <v>562</v>
      </c>
      <c r="F187" s="208" t="str">
        <f>HYPERLINK(E187,A187)</f>
        <v>Yola Berrocal Mision Espacial 2</v>
      </c>
      <c r="G187" s="38">
        <v>9</v>
      </c>
      <c r="H187" s="38">
        <v>3</v>
      </c>
      <c r="I187" s="11">
        <v>0.2</v>
      </c>
      <c r="J187" s="11">
        <v>15</v>
      </c>
      <c r="K187" s="15">
        <v>1</v>
      </c>
      <c r="L187" s="143">
        <v>15000</v>
      </c>
      <c r="M187" s="211" t="s">
        <v>84</v>
      </c>
      <c r="N187" s="143" t="s">
        <v>85</v>
      </c>
      <c r="O187" s="421" t="s">
        <v>285</v>
      </c>
      <c r="P187" s="93" t="s">
        <v>26</v>
      </c>
      <c r="Q187" s="56">
        <v>0.1883</v>
      </c>
      <c r="R187" s="60" t="s">
        <v>27</v>
      </c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ht="30.75">
      <c r="A188" s="7" t="s">
        <v>563</v>
      </c>
      <c r="B188" s="12" t="s">
        <v>77</v>
      </c>
      <c r="C188" s="9" t="s">
        <v>20</v>
      </c>
      <c r="D188" s="412">
        <v>44284</v>
      </c>
      <c r="E188" s="65" t="s">
        <v>564</v>
      </c>
      <c r="F188" s="208" t="str">
        <f>HYPERLINK(E188,A188)</f>
        <v>Yola Berrocal Wild West</v>
      </c>
      <c r="G188" s="39">
        <v>10</v>
      </c>
      <c r="H188" s="39">
        <v>5</v>
      </c>
      <c r="I188" s="15">
        <v>0.1</v>
      </c>
      <c r="J188" s="15">
        <v>10</v>
      </c>
      <c r="K188" s="15">
        <v>1</v>
      </c>
      <c r="L188" s="259">
        <v>55000</v>
      </c>
      <c r="M188" s="211" t="s">
        <v>257</v>
      </c>
      <c r="N188" s="143" t="s">
        <v>258</v>
      </c>
      <c r="O188" s="93" t="s">
        <v>565</v>
      </c>
      <c r="P188" s="93" t="s">
        <v>26</v>
      </c>
      <c r="Q188" s="29">
        <v>0.32469999999999999</v>
      </c>
      <c r="R188" s="61" t="s">
        <v>27</v>
      </c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>
      <c r="A189" s="21" t="s">
        <v>566</v>
      </c>
      <c r="B189" s="168" t="s">
        <v>77</v>
      </c>
      <c r="C189" s="22" t="s">
        <v>20</v>
      </c>
      <c r="D189" s="419">
        <v>45124</v>
      </c>
      <c r="E189" s="83" t="s">
        <v>567</v>
      </c>
      <c r="F189" s="217" t="str">
        <f>HYPERLINK(E189,A189)</f>
        <v>Zeus Fortuna</v>
      </c>
      <c r="G189" s="41">
        <v>9</v>
      </c>
      <c r="H189" s="41">
        <v>3</v>
      </c>
      <c r="I189" s="24">
        <v>0.2</v>
      </c>
      <c r="J189" s="24">
        <v>15</v>
      </c>
      <c r="K189" s="24">
        <v>0.2</v>
      </c>
      <c r="L189" s="242">
        <v>15000</v>
      </c>
      <c r="M189" s="365" t="s">
        <v>84</v>
      </c>
      <c r="N189" s="242" t="s">
        <v>85</v>
      </c>
      <c r="O189" s="420" t="s">
        <v>86</v>
      </c>
      <c r="P189" s="420" t="s">
        <v>26</v>
      </c>
      <c r="Q189" s="58">
        <v>0.28889999999999999</v>
      </c>
      <c r="R189" s="63" t="s">
        <v>27</v>
      </c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ht="30.75">
      <c r="A190" s="25" t="s">
        <v>568</v>
      </c>
      <c r="B190" s="26" t="s">
        <v>569</v>
      </c>
      <c r="C190" s="171" t="s">
        <v>98</v>
      </c>
      <c r="D190" s="430">
        <v>44188</v>
      </c>
      <c r="E190" s="431" t="s">
        <v>570</v>
      </c>
      <c r="F190" s="245" t="str">
        <f t="shared" ref="F190:F214" si="1">HYPERLINK(E190,A190)</f>
        <v>Arabian Bingo</v>
      </c>
      <c r="G190" s="42" t="s">
        <v>571</v>
      </c>
      <c r="H190" s="42" t="s">
        <v>571</v>
      </c>
      <c r="I190" s="28">
        <v>0.08</v>
      </c>
      <c r="J190" s="28">
        <v>30</v>
      </c>
      <c r="K190" s="28">
        <v>0.2</v>
      </c>
      <c r="L190" s="243">
        <v>18750</v>
      </c>
      <c r="M190" s="258" t="s">
        <v>572</v>
      </c>
      <c r="N190" s="243" t="s">
        <v>573</v>
      </c>
      <c r="O190" s="432" t="s">
        <v>574</v>
      </c>
      <c r="P190" s="432" t="s">
        <v>26</v>
      </c>
      <c r="Q190" s="55">
        <v>0.5464</v>
      </c>
      <c r="R190" s="59" t="s">
        <v>43</v>
      </c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ht="30.75">
      <c r="A191" s="7" t="s">
        <v>575</v>
      </c>
      <c r="B191" s="9" t="s">
        <v>569</v>
      </c>
      <c r="C191" s="14" t="s">
        <v>98</v>
      </c>
      <c r="D191" s="412">
        <v>43101</v>
      </c>
      <c r="E191" s="65" t="s">
        <v>576</v>
      </c>
      <c r="F191" s="208" t="str">
        <f>HYPERLINK(E191,A191)</f>
        <v>Beach Bingo</v>
      </c>
      <c r="G191" s="38" t="s">
        <v>571</v>
      </c>
      <c r="H191" s="38" t="s">
        <v>571</v>
      </c>
      <c r="I191" s="11">
        <v>0.08</v>
      </c>
      <c r="J191" s="11">
        <v>30</v>
      </c>
      <c r="K191" s="11">
        <v>0.2</v>
      </c>
      <c r="L191" s="143">
        <v>22500</v>
      </c>
      <c r="M191" s="211" t="s">
        <v>572</v>
      </c>
      <c r="N191" s="143" t="s">
        <v>127</v>
      </c>
      <c r="O191" s="93" t="s">
        <v>577</v>
      </c>
      <c r="P191" s="93" t="s">
        <v>26</v>
      </c>
      <c r="Q191" s="56">
        <v>0.47389999999999999</v>
      </c>
      <c r="R191" s="60" t="s">
        <v>43</v>
      </c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ht="30.75">
      <c r="A192" s="7" t="s">
        <v>578</v>
      </c>
      <c r="B192" s="9" t="s">
        <v>569</v>
      </c>
      <c r="C192" s="14" t="s">
        <v>98</v>
      </c>
      <c r="D192" s="412">
        <v>43101</v>
      </c>
      <c r="E192" s="65" t="s">
        <v>579</v>
      </c>
      <c r="F192" s="208" t="str">
        <f>HYPERLINK(E192,A192)</f>
        <v>Bicho Farm Bingo</v>
      </c>
      <c r="G192" s="38" t="s">
        <v>571</v>
      </c>
      <c r="H192" s="38" t="s">
        <v>571</v>
      </c>
      <c r="I192" s="11">
        <v>0.08</v>
      </c>
      <c r="J192" s="11">
        <v>30</v>
      </c>
      <c r="K192" s="11">
        <v>0.2</v>
      </c>
      <c r="L192" s="143">
        <v>11250</v>
      </c>
      <c r="M192" s="211" t="s">
        <v>572</v>
      </c>
      <c r="N192" s="143" t="s">
        <v>580</v>
      </c>
      <c r="O192" s="93" t="s">
        <v>581</v>
      </c>
      <c r="P192" s="93" t="s">
        <v>26</v>
      </c>
      <c r="Q192" s="56">
        <v>0.72989999999999999</v>
      </c>
      <c r="R192" s="60" t="s">
        <v>43</v>
      </c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ht="30.75">
      <c r="A193" s="7" t="s">
        <v>582</v>
      </c>
      <c r="B193" s="9" t="s">
        <v>569</v>
      </c>
      <c r="C193" s="14" t="s">
        <v>98</v>
      </c>
      <c r="D193" s="412">
        <v>43101</v>
      </c>
      <c r="E193" s="65" t="s">
        <v>583</v>
      </c>
      <c r="F193" s="208" t="str">
        <f>HYPERLINK(E193,A193)</f>
        <v>Bikers Bingo</v>
      </c>
      <c r="G193" s="38" t="s">
        <v>571</v>
      </c>
      <c r="H193" s="38" t="s">
        <v>571</v>
      </c>
      <c r="I193" s="11">
        <v>0.08</v>
      </c>
      <c r="J193" s="11">
        <v>30</v>
      </c>
      <c r="K193" s="11">
        <v>0.2</v>
      </c>
      <c r="L193" s="143">
        <v>11250</v>
      </c>
      <c r="M193" s="211" t="s">
        <v>572</v>
      </c>
      <c r="N193" s="143" t="s">
        <v>580</v>
      </c>
      <c r="O193" s="93" t="s">
        <v>584</v>
      </c>
      <c r="P193" s="93" t="s">
        <v>26</v>
      </c>
      <c r="Q193" s="56">
        <v>0.52629999999999999</v>
      </c>
      <c r="R193" s="60" t="s">
        <v>43</v>
      </c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ht="30.75">
      <c r="A194" s="7" t="s">
        <v>585</v>
      </c>
      <c r="B194" s="9" t="s">
        <v>569</v>
      </c>
      <c r="C194" s="14" t="s">
        <v>98</v>
      </c>
      <c r="D194" s="412">
        <v>44025</v>
      </c>
      <c r="E194" s="65" t="s">
        <v>586</v>
      </c>
      <c r="F194" s="208" t="str">
        <f>HYPERLINK(E194,A194)</f>
        <v>Buffalo Bingo</v>
      </c>
      <c r="G194" s="38" t="s">
        <v>571</v>
      </c>
      <c r="H194" s="38" t="s">
        <v>571</v>
      </c>
      <c r="I194" s="11">
        <v>0.08</v>
      </c>
      <c r="J194" s="11">
        <v>30</v>
      </c>
      <c r="K194" s="11">
        <v>0.2</v>
      </c>
      <c r="L194" s="143">
        <v>18750</v>
      </c>
      <c r="M194" s="211" t="s">
        <v>572</v>
      </c>
      <c r="N194" s="143" t="s">
        <v>573</v>
      </c>
      <c r="O194" s="93" t="s">
        <v>587</v>
      </c>
      <c r="P194" s="93" t="s">
        <v>26</v>
      </c>
      <c r="Q194" s="56">
        <v>5.1999999999999998E-3</v>
      </c>
      <c r="R194" s="60" t="s">
        <v>27</v>
      </c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ht="30.75">
      <c r="A195" s="7" t="s">
        <v>588</v>
      </c>
      <c r="B195" s="9" t="s">
        <v>569</v>
      </c>
      <c r="C195" s="14" t="s">
        <v>98</v>
      </c>
      <c r="D195" s="416">
        <v>43843</v>
      </c>
      <c r="E195" s="65" t="s">
        <v>589</v>
      </c>
      <c r="F195" s="208" t="str">
        <f>HYPERLINK(E195,A195)</f>
        <v>Calaca Party Bingo</v>
      </c>
      <c r="G195" s="38" t="s">
        <v>571</v>
      </c>
      <c r="H195" s="38" t="s">
        <v>571</v>
      </c>
      <c r="I195" s="11">
        <v>0.08</v>
      </c>
      <c r="J195" s="11">
        <v>30</v>
      </c>
      <c r="K195" s="11">
        <v>0.2</v>
      </c>
      <c r="L195" s="143">
        <v>15000</v>
      </c>
      <c r="M195" s="347" t="s">
        <v>572</v>
      </c>
      <c r="N195" s="143" t="s">
        <v>144</v>
      </c>
      <c r="O195" s="29">
        <v>0.90610000000000002</v>
      </c>
      <c r="P195" s="29" t="s">
        <v>26</v>
      </c>
      <c r="Q195" s="56">
        <v>8.9200000000000002E-2</v>
      </c>
      <c r="R195" s="60" t="s">
        <v>43</v>
      </c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ht="30.75">
      <c r="A196" s="7" t="s">
        <v>590</v>
      </c>
      <c r="B196" s="9" t="s">
        <v>569</v>
      </c>
      <c r="C196" s="14" t="s">
        <v>98</v>
      </c>
      <c r="D196" s="412">
        <v>43101</v>
      </c>
      <c r="E196" s="65" t="s">
        <v>591</v>
      </c>
      <c r="F196" s="208" t="str">
        <f>HYPERLINK(E196,A196)</f>
        <v>Candy Bingo</v>
      </c>
      <c r="G196" s="38" t="s">
        <v>571</v>
      </c>
      <c r="H196" s="38" t="s">
        <v>571</v>
      </c>
      <c r="I196" s="11">
        <v>0.08</v>
      </c>
      <c r="J196" s="11">
        <v>30</v>
      </c>
      <c r="K196" s="11">
        <v>0.2</v>
      </c>
      <c r="L196" s="143">
        <v>15000</v>
      </c>
      <c r="M196" s="211" t="s">
        <v>572</v>
      </c>
      <c r="N196" s="143" t="s">
        <v>144</v>
      </c>
      <c r="O196" s="93" t="s">
        <v>592</v>
      </c>
      <c r="P196" s="93" t="s">
        <v>26</v>
      </c>
      <c r="Q196" s="56">
        <v>0.48080000000000001</v>
      </c>
      <c r="R196" s="60" t="s">
        <v>43</v>
      </c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ht="30.75">
      <c r="A197" s="7" t="s">
        <v>593</v>
      </c>
      <c r="B197" s="9" t="s">
        <v>569</v>
      </c>
      <c r="C197" s="14" t="s">
        <v>98</v>
      </c>
      <c r="D197" s="412">
        <v>44305</v>
      </c>
      <c r="E197" s="65" t="s">
        <v>594</v>
      </c>
      <c r="F197" s="208" t="str">
        <f>HYPERLINK(E197,A197)</f>
        <v>Carnaval Bingo</v>
      </c>
      <c r="G197" s="38" t="s">
        <v>571</v>
      </c>
      <c r="H197" s="38" t="s">
        <v>571</v>
      </c>
      <c r="I197" s="11">
        <v>0.08</v>
      </c>
      <c r="J197" s="11">
        <v>30</v>
      </c>
      <c r="K197" s="11">
        <v>0.2</v>
      </c>
      <c r="L197" s="143">
        <v>22500</v>
      </c>
      <c r="M197" s="211" t="s">
        <v>572</v>
      </c>
      <c r="N197" s="143" t="s">
        <v>127</v>
      </c>
      <c r="O197" s="93" t="s">
        <v>595</v>
      </c>
      <c r="P197" s="93" t="s">
        <v>26</v>
      </c>
      <c r="Q197" s="56">
        <v>0.5464</v>
      </c>
      <c r="R197" s="60" t="s">
        <v>43</v>
      </c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ht="30.75">
      <c r="A198" s="7" t="s">
        <v>596</v>
      </c>
      <c r="B198" s="9" t="s">
        <v>569</v>
      </c>
      <c r="C198" s="14" t="s">
        <v>98</v>
      </c>
      <c r="D198" s="412">
        <v>43101</v>
      </c>
      <c r="E198" s="65" t="s">
        <v>597</v>
      </c>
      <c r="F198" s="208" t="str">
        <f>HYPERLINK(E198,A198)</f>
        <v>Casino Bingo</v>
      </c>
      <c r="G198" s="38" t="s">
        <v>571</v>
      </c>
      <c r="H198" s="38" t="s">
        <v>571</v>
      </c>
      <c r="I198" s="11">
        <v>0.08</v>
      </c>
      <c r="J198" s="11">
        <v>30</v>
      </c>
      <c r="K198" s="11">
        <v>0.2</v>
      </c>
      <c r="L198" s="143">
        <v>18750</v>
      </c>
      <c r="M198" s="211" t="s">
        <v>572</v>
      </c>
      <c r="N198" s="143" t="s">
        <v>573</v>
      </c>
      <c r="O198" s="93" t="s">
        <v>598</v>
      </c>
      <c r="P198" s="93" t="s">
        <v>26</v>
      </c>
      <c r="Q198" s="56">
        <v>0.4854</v>
      </c>
      <c r="R198" s="60" t="s">
        <v>43</v>
      </c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ht="30.75">
      <c r="A199" s="7" t="s">
        <v>599</v>
      </c>
      <c r="B199" s="9" t="s">
        <v>569</v>
      </c>
      <c r="C199" s="14" t="s">
        <v>98</v>
      </c>
      <c r="D199" s="412">
        <v>43497</v>
      </c>
      <c r="E199" s="65" t="s">
        <v>600</v>
      </c>
      <c r="F199" s="208" t="str">
        <f>HYPERLINK(E199,A199)</f>
        <v>Castle Bingo</v>
      </c>
      <c r="G199" s="38" t="s">
        <v>571</v>
      </c>
      <c r="H199" s="38" t="s">
        <v>571</v>
      </c>
      <c r="I199" s="11">
        <v>0.08</v>
      </c>
      <c r="J199" s="11">
        <v>30</v>
      </c>
      <c r="K199" s="11">
        <v>0.2</v>
      </c>
      <c r="L199" s="143">
        <v>15000</v>
      </c>
      <c r="M199" s="211" t="s">
        <v>572</v>
      </c>
      <c r="N199" s="143" t="s">
        <v>144</v>
      </c>
      <c r="O199" s="93" t="s">
        <v>601</v>
      </c>
      <c r="P199" s="93" t="s">
        <v>26</v>
      </c>
      <c r="Q199" s="56">
        <v>0.48080000000000001</v>
      </c>
      <c r="R199" s="60" t="s">
        <v>43</v>
      </c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ht="30.75">
      <c r="A200" s="7" t="s">
        <v>602</v>
      </c>
      <c r="B200" s="9" t="s">
        <v>569</v>
      </c>
      <c r="C200" s="14" t="s">
        <v>98</v>
      </c>
      <c r="D200" s="412">
        <v>43101</v>
      </c>
      <c r="E200" s="65" t="s">
        <v>603</v>
      </c>
      <c r="F200" s="208" t="str">
        <f>HYPERLINK(E200,A200)</f>
        <v>Caveman Bingo</v>
      </c>
      <c r="G200" s="38" t="s">
        <v>571</v>
      </c>
      <c r="H200" s="38" t="s">
        <v>571</v>
      </c>
      <c r="I200" s="11">
        <v>0.08</v>
      </c>
      <c r="J200" s="11">
        <v>30</v>
      </c>
      <c r="K200" s="11">
        <v>0.2</v>
      </c>
      <c r="L200" s="143">
        <v>11250</v>
      </c>
      <c r="M200" s="211" t="s">
        <v>572</v>
      </c>
      <c r="N200" s="143" t="s">
        <v>580</v>
      </c>
      <c r="O200" s="93" t="s">
        <v>604</v>
      </c>
      <c r="P200" s="93" t="s">
        <v>26</v>
      </c>
      <c r="Q200" s="56">
        <v>0.4587</v>
      </c>
      <c r="R200" s="60" t="s">
        <v>43</v>
      </c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ht="30.75">
      <c r="A201" s="7" t="s">
        <v>605</v>
      </c>
      <c r="B201" s="9" t="s">
        <v>569</v>
      </c>
      <c r="C201" s="14" t="s">
        <v>98</v>
      </c>
      <c r="D201" s="412">
        <v>43101</v>
      </c>
      <c r="E201" s="65" t="s">
        <v>606</v>
      </c>
      <c r="F201" s="208" t="str">
        <f>HYPERLINK(E201,A201)</f>
        <v>Champions Bingo</v>
      </c>
      <c r="G201" s="38" t="s">
        <v>571</v>
      </c>
      <c r="H201" s="38" t="s">
        <v>571</v>
      </c>
      <c r="I201" s="11">
        <v>0.08</v>
      </c>
      <c r="J201" s="11">
        <v>30</v>
      </c>
      <c r="K201" s="11">
        <v>0.2</v>
      </c>
      <c r="L201" s="143">
        <v>11250</v>
      </c>
      <c r="M201" s="211" t="s">
        <v>572</v>
      </c>
      <c r="N201" s="143" t="s">
        <v>580</v>
      </c>
      <c r="O201" s="93" t="s">
        <v>607</v>
      </c>
      <c r="P201" s="93" t="s">
        <v>26</v>
      </c>
      <c r="Q201" s="56">
        <v>0.5181</v>
      </c>
      <c r="R201" s="60" t="s">
        <v>43</v>
      </c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ht="30.75">
      <c r="A202" s="7" t="s">
        <v>608</v>
      </c>
      <c r="B202" s="9" t="s">
        <v>569</v>
      </c>
      <c r="C202" s="14" t="s">
        <v>98</v>
      </c>
      <c r="D202" s="416">
        <v>43787</v>
      </c>
      <c r="E202" s="65" t="s">
        <v>609</v>
      </c>
      <c r="F202" s="208" t="str">
        <f>HYPERLINK(E202,A202)</f>
        <v>Circus Bingo</v>
      </c>
      <c r="G202" s="38" t="s">
        <v>571</v>
      </c>
      <c r="H202" s="38" t="s">
        <v>571</v>
      </c>
      <c r="I202" s="11">
        <v>0.08</v>
      </c>
      <c r="J202" s="11">
        <v>30</v>
      </c>
      <c r="K202" s="11">
        <v>0.2</v>
      </c>
      <c r="L202" s="143">
        <v>18750</v>
      </c>
      <c r="M202" s="211" t="s">
        <v>572</v>
      </c>
      <c r="N202" s="143" t="s">
        <v>573</v>
      </c>
      <c r="O202" s="93" t="s">
        <v>610</v>
      </c>
      <c r="P202" s="93" t="s">
        <v>26</v>
      </c>
      <c r="Q202" s="56">
        <v>0.5181</v>
      </c>
      <c r="R202" s="60" t="s">
        <v>43</v>
      </c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ht="30.75">
      <c r="A203" s="7" t="s">
        <v>611</v>
      </c>
      <c r="B203" s="9" t="s">
        <v>569</v>
      </c>
      <c r="C203" s="14" t="s">
        <v>98</v>
      </c>
      <c r="D203" s="412">
        <v>43101</v>
      </c>
      <c r="E203" s="65" t="s">
        <v>612</v>
      </c>
      <c r="F203" s="208" t="str">
        <f>HYPERLINK(E203,A203)</f>
        <v>Classic Cars Deluxe Bingo</v>
      </c>
      <c r="G203" s="38" t="s">
        <v>571</v>
      </c>
      <c r="H203" s="38" t="s">
        <v>571</v>
      </c>
      <c r="I203" s="11">
        <v>0.08</v>
      </c>
      <c r="J203" s="11">
        <v>30</v>
      </c>
      <c r="K203" s="11">
        <v>0.2</v>
      </c>
      <c r="L203" s="143">
        <v>11250</v>
      </c>
      <c r="M203" s="211" t="s">
        <v>572</v>
      </c>
      <c r="N203" s="143" t="s">
        <v>580</v>
      </c>
      <c r="O203" s="93" t="s">
        <v>613</v>
      </c>
      <c r="P203" s="93" t="s">
        <v>26</v>
      </c>
      <c r="Q203" s="56">
        <v>0.50509999999999999</v>
      </c>
      <c r="R203" s="60" t="s">
        <v>43</v>
      </c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ht="30.75">
      <c r="A204" s="7" t="s">
        <v>614</v>
      </c>
      <c r="B204" s="9" t="s">
        <v>569</v>
      </c>
      <c r="C204" s="14" t="s">
        <v>98</v>
      </c>
      <c r="D204" s="412">
        <v>44053</v>
      </c>
      <c r="E204" s="65" t="s">
        <v>615</v>
      </c>
      <c r="F204" s="208" t="str">
        <f>HYPERLINK(E204,A204)</f>
        <v>Cleopatra Bingo</v>
      </c>
      <c r="G204" s="38" t="s">
        <v>571</v>
      </c>
      <c r="H204" s="38" t="s">
        <v>571</v>
      </c>
      <c r="I204" s="11">
        <v>0.08</v>
      </c>
      <c r="J204" s="11">
        <v>30</v>
      </c>
      <c r="K204" s="11">
        <v>0.2</v>
      </c>
      <c r="L204" s="143">
        <v>18750</v>
      </c>
      <c r="M204" s="211" t="s">
        <v>572</v>
      </c>
      <c r="N204" s="143" t="s">
        <v>573</v>
      </c>
      <c r="O204" s="93" t="s">
        <v>616</v>
      </c>
      <c r="P204" s="93" t="s">
        <v>26</v>
      </c>
      <c r="Q204" s="56">
        <v>0.48780000000000001</v>
      </c>
      <c r="R204" s="60" t="s">
        <v>43</v>
      </c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ht="30.75">
      <c r="A205" s="7" t="s">
        <v>617</v>
      </c>
      <c r="B205" s="9" t="s">
        <v>569</v>
      </c>
      <c r="C205" s="14" t="s">
        <v>98</v>
      </c>
      <c r="D205" s="412">
        <v>43101</v>
      </c>
      <c r="E205" s="65" t="s">
        <v>618</v>
      </c>
      <c r="F205" s="208" t="str">
        <f>HYPERLINK(E205,A205)</f>
        <v>Cocktails Bingo</v>
      </c>
      <c r="G205" s="38" t="s">
        <v>571</v>
      </c>
      <c r="H205" s="38" t="s">
        <v>571</v>
      </c>
      <c r="I205" s="11">
        <v>0.08</v>
      </c>
      <c r="J205" s="11">
        <v>30</v>
      </c>
      <c r="K205" s="11">
        <v>0.2</v>
      </c>
      <c r="L205" s="143">
        <v>11250</v>
      </c>
      <c r="M205" s="211" t="s">
        <v>572</v>
      </c>
      <c r="N205" s="143" t="s">
        <v>580</v>
      </c>
      <c r="O205" s="93" t="s">
        <v>619</v>
      </c>
      <c r="P205" s="93" t="s">
        <v>26</v>
      </c>
      <c r="Q205" s="56">
        <v>0.52910000000000001</v>
      </c>
      <c r="R205" s="60" t="s">
        <v>43</v>
      </c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>
      <c r="A206" s="7" t="s">
        <v>620</v>
      </c>
      <c r="B206" s="9" t="s">
        <v>569</v>
      </c>
      <c r="C206" s="14" t="s">
        <v>98</v>
      </c>
      <c r="D206" s="412">
        <v>43101</v>
      </c>
      <c r="E206" s="65" t="s">
        <v>621</v>
      </c>
      <c r="F206" s="208" t="str">
        <f>HYPERLINK(E206,A206)</f>
        <v>Cup Cakes Bingo</v>
      </c>
      <c r="G206" s="38" t="s">
        <v>571</v>
      </c>
      <c r="H206" s="38" t="s">
        <v>571</v>
      </c>
      <c r="I206" s="11">
        <v>0.08</v>
      </c>
      <c r="J206" s="11">
        <v>30</v>
      </c>
      <c r="K206" s="11">
        <v>5</v>
      </c>
      <c r="L206" s="143">
        <v>22500</v>
      </c>
      <c r="M206" s="211" t="s">
        <v>622</v>
      </c>
      <c r="N206" s="143" t="s">
        <v>127</v>
      </c>
      <c r="O206" s="93" t="s">
        <v>623</v>
      </c>
      <c r="P206" s="93" t="s">
        <v>26</v>
      </c>
      <c r="Q206" s="56">
        <v>0.4587</v>
      </c>
      <c r="R206" s="60" t="s">
        <v>43</v>
      </c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ht="30.75">
      <c r="A207" s="7" t="s">
        <v>624</v>
      </c>
      <c r="B207" s="9" t="s">
        <v>569</v>
      </c>
      <c r="C207" s="14" t="s">
        <v>98</v>
      </c>
      <c r="D207" s="412">
        <v>43101</v>
      </c>
      <c r="E207" s="65" t="s">
        <v>625</v>
      </c>
      <c r="F207" s="208" t="str">
        <f>HYPERLINK(E207,A207)</f>
        <v>Detective Bingo</v>
      </c>
      <c r="G207" s="38" t="s">
        <v>571</v>
      </c>
      <c r="H207" s="38" t="s">
        <v>571</v>
      </c>
      <c r="I207" s="11">
        <v>0.08</v>
      </c>
      <c r="J207" s="11">
        <v>30</v>
      </c>
      <c r="K207" s="11">
        <v>0.2</v>
      </c>
      <c r="L207" s="143">
        <v>15000</v>
      </c>
      <c r="M207" s="211" t="s">
        <v>572</v>
      </c>
      <c r="N207" s="143" t="s">
        <v>144</v>
      </c>
      <c r="O207" s="93" t="s">
        <v>626</v>
      </c>
      <c r="P207" s="93" t="s">
        <v>26</v>
      </c>
      <c r="Q207" s="56">
        <v>0.4274</v>
      </c>
      <c r="R207" s="60" t="s">
        <v>43</v>
      </c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ht="30.75">
      <c r="A208" s="7" t="s">
        <v>627</v>
      </c>
      <c r="B208" s="9" t="s">
        <v>569</v>
      </c>
      <c r="C208" s="14" t="s">
        <v>98</v>
      </c>
      <c r="D208" s="412">
        <v>43101</v>
      </c>
      <c r="E208" s="65" t="s">
        <v>628</v>
      </c>
      <c r="F208" s="208" t="str">
        <f>HYPERLINK(E208,A208)</f>
        <v>Diamonds Bingo</v>
      </c>
      <c r="G208" s="38" t="s">
        <v>571</v>
      </c>
      <c r="H208" s="38" t="s">
        <v>571</v>
      </c>
      <c r="I208" s="11">
        <v>0.08</v>
      </c>
      <c r="J208" s="11">
        <v>30</v>
      </c>
      <c r="K208" s="11">
        <v>0.2</v>
      </c>
      <c r="L208" s="143">
        <v>30000</v>
      </c>
      <c r="M208" s="211" t="s">
        <v>572</v>
      </c>
      <c r="N208" s="143" t="s">
        <v>85</v>
      </c>
      <c r="O208" s="93" t="s">
        <v>629</v>
      </c>
      <c r="P208" s="93" t="s">
        <v>26</v>
      </c>
      <c r="Q208" s="56">
        <v>0.47620000000000001</v>
      </c>
      <c r="R208" s="60" t="s">
        <v>43</v>
      </c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ht="30.75">
      <c r="A209" s="7" t="s">
        <v>630</v>
      </c>
      <c r="B209" s="9" t="s">
        <v>569</v>
      </c>
      <c r="C209" s="14" t="s">
        <v>98</v>
      </c>
      <c r="D209" s="412">
        <v>43101</v>
      </c>
      <c r="E209" s="65" t="s">
        <v>631</v>
      </c>
      <c r="F209" s="208" t="str">
        <f>HYPERLINK(E209,A209)</f>
        <v>Disco Bingo</v>
      </c>
      <c r="G209" s="38" t="s">
        <v>571</v>
      </c>
      <c r="H209" s="38" t="s">
        <v>571</v>
      </c>
      <c r="I209" s="11">
        <v>0.08</v>
      </c>
      <c r="J209" s="11">
        <v>30</v>
      </c>
      <c r="K209" s="11">
        <v>0.2</v>
      </c>
      <c r="L209" s="143">
        <v>15000</v>
      </c>
      <c r="M209" s="211" t="s">
        <v>572</v>
      </c>
      <c r="N209" s="143" t="s">
        <v>144</v>
      </c>
      <c r="O209" s="93" t="s">
        <v>632</v>
      </c>
      <c r="P209" s="93" t="s">
        <v>26</v>
      </c>
      <c r="Q209" s="56">
        <v>0.6452</v>
      </c>
      <c r="R209" s="60" t="s">
        <v>43</v>
      </c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ht="30.75">
      <c r="A210" s="7" t="s">
        <v>633</v>
      </c>
      <c r="B210" s="9" t="s">
        <v>569</v>
      </c>
      <c r="C210" s="14" t="s">
        <v>98</v>
      </c>
      <c r="D210" s="416">
        <v>45411</v>
      </c>
      <c r="E210" s="65" t="s">
        <v>634</v>
      </c>
      <c r="F210" s="208" t="str">
        <f>HYPERLINK(E210,A210)</f>
        <v>El Secreto De Las Piramides Bingo</v>
      </c>
      <c r="G210" s="38" t="s">
        <v>571</v>
      </c>
      <c r="H210" s="38" t="s">
        <v>571</v>
      </c>
      <c r="I210" s="11">
        <v>0.08</v>
      </c>
      <c r="J210" s="11">
        <v>30</v>
      </c>
      <c r="K210" s="11">
        <v>0.2</v>
      </c>
      <c r="L210" s="143">
        <v>15000</v>
      </c>
      <c r="M210" s="211" t="s">
        <v>572</v>
      </c>
      <c r="N210" s="143" t="s">
        <v>144</v>
      </c>
      <c r="O210" s="93" t="s">
        <v>635</v>
      </c>
      <c r="P210" s="93" t="s">
        <v>26</v>
      </c>
      <c r="Q210" s="56">
        <v>0.223</v>
      </c>
      <c r="R210" s="60" t="s">
        <v>27</v>
      </c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ht="30.75">
      <c r="A211" s="7" t="s">
        <v>636</v>
      </c>
      <c r="B211" s="9" t="s">
        <v>569</v>
      </c>
      <c r="C211" s="14" t="s">
        <v>98</v>
      </c>
      <c r="D211" s="412">
        <v>43101</v>
      </c>
      <c r="E211" s="65" t="s">
        <v>637</v>
      </c>
      <c r="F211" s="208" t="str">
        <f>HYPERLINK(E211,A211)</f>
        <v>Fashion Bingo</v>
      </c>
      <c r="G211" s="38" t="s">
        <v>571</v>
      </c>
      <c r="H211" s="38" t="s">
        <v>571</v>
      </c>
      <c r="I211" s="11">
        <v>0.08</v>
      </c>
      <c r="J211" s="11">
        <v>30</v>
      </c>
      <c r="K211" s="11">
        <v>0.2</v>
      </c>
      <c r="L211" s="143">
        <v>15000</v>
      </c>
      <c r="M211" s="211" t="s">
        <v>572</v>
      </c>
      <c r="N211" s="143" t="s">
        <v>144</v>
      </c>
      <c r="O211" s="93" t="s">
        <v>638</v>
      </c>
      <c r="P211" s="93" t="s">
        <v>26</v>
      </c>
      <c r="Q211" s="56">
        <v>0.58819999999999995</v>
      </c>
      <c r="R211" s="60" t="s">
        <v>43</v>
      </c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ht="30.75">
      <c r="A212" s="7" t="s">
        <v>639</v>
      </c>
      <c r="B212" s="9" t="s">
        <v>569</v>
      </c>
      <c r="C212" s="14" t="s">
        <v>98</v>
      </c>
      <c r="D212" s="412">
        <v>43983</v>
      </c>
      <c r="E212" s="65" t="s">
        <v>640</v>
      </c>
      <c r="F212" s="208" t="str">
        <f>HYPERLINK(E212,A212)</f>
        <v>Golden Lucky Cat Bingo</v>
      </c>
      <c r="G212" s="38" t="s">
        <v>571</v>
      </c>
      <c r="H212" s="38" t="s">
        <v>571</v>
      </c>
      <c r="I212" s="11">
        <v>0.08</v>
      </c>
      <c r="J212" s="11">
        <v>30</v>
      </c>
      <c r="K212" s="11">
        <v>0.2</v>
      </c>
      <c r="L212" s="143">
        <v>18750</v>
      </c>
      <c r="M212" s="211" t="s">
        <v>572</v>
      </c>
      <c r="N212" s="143" t="s">
        <v>573</v>
      </c>
      <c r="O212" s="93" t="s">
        <v>641</v>
      </c>
      <c r="P212" s="93" t="s">
        <v>26</v>
      </c>
      <c r="Q212" s="56">
        <v>0.12909999999999999</v>
      </c>
      <c r="R212" s="60" t="s">
        <v>43</v>
      </c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ht="30.75">
      <c r="A213" s="7" t="s">
        <v>642</v>
      </c>
      <c r="B213" s="9" t="s">
        <v>569</v>
      </c>
      <c r="C213" s="14" t="s">
        <v>98</v>
      </c>
      <c r="D213" s="412">
        <v>43101</v>
      </c>
      <c r="E213" s="65" t="s">
        <v>643</v>
      </c>
      <c r="F213" s="208" t="str">
        <f>HYPERLINK(E213,A213)</f>
        <v>Hollywood Bingo</v>
      </c>
      <c r="G213" s="38" t="s">
        <v>571</v>
      </c>
      <c r="H213" s="38" t="s">
        <v>571</v>
      </c>
      <c r="I213" s="11">
        <v>0.08</v>
      </c>
      <c r="J213" s="11">
        <v>30</v>
      </c>
      <c r="K213" s="11">
        <v>0.2</v>
      </c>
      <c r="L213" s="143">
        <v>22500</v>
      </c>
      <c r="M213" s="211" t="s">
        <v>572</v>
      </c>
      <c r="N213" s="143" t="s">
        <v>127</v>
      </c>
      <c r="O213" s="93" t="s">
        <v>644</v>
      </c>
      <c r="P213" s="93" t="s">
        <v>26</v>
      </c>
      <c r="Q213" s="56">
        <v>0.4854</v>
      </c>
      <c r="R213" s="60" t="s">
        <v>27</v>
      </c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ht="30.75">
      <c r="A214" s="7" t="s">
        <v>645</v>
      </c>
      <c r="B214" s="9" t="s">
        <v>569</v>
      </c>
      <c r="C214" s="14" t="s">
        <v>98</v>
      </c>
      <c r="D214" s="416">
        <v>45964</v>
      </c>
      <c r="E214" s="65" t="s">
        <v>646</v>
      </c>
      <c r="F214" s="208" t="str">
        <f>HYPERLINK(E214,A214)</f>
        <v>Lejano Oeste Bingo</v>
      </c>
      <c r="G214" s="38" t="s">
        <v>647</v>
      </c>
      <c r="H214" s="38" t="s">
        <v>648</v>
      </c>
      <c r="I214" s="11">
        <v>0.08</v>
      </c>
      <c r="J214" s="11">
        <v>30</v>
      </c>
      <c r="K214" s="11">
        <v>0.2</v>
      </c>
      <c r="L214" s="143">
        <v>30000</v>
      </c>
      <c r="M214" s="211" t="s">
        <v>572</v>
      </c>
      <c r="N214" s="143" t="s">
        <v>85</v>
      </c>
      <c r="O214" s="29">
        <v>0.90610000000000002</v>
      </c>
      <c r="P214" s="29" t="s">
        <v>26</v>
      </c>
      <c r="Q214" s="56">
        <v>0.11210000000000001</v>
      </c>
      <c r="R214" s="60" t="s">
        <v>27</v>
      </c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ht="30.75">
      <c r="A215" s="7" t="s">
        <v>649</v>
      </c>
      <c r="B215" s="9" t="s">
        <v>569</v>
      </c>
      <c r="C215" s="14" t="s">
        <v>98</v>
      </c>
      <c r="D215" s="412">
        <v>45502</v>
      </c>
      <c r="E215" s="65" t="s">
        <v>650</v>
      </c>
      <c r="F215" s="208" t="str">
        <f>HYPERLINK(E215,A215)</f>
        <v>Llanuras Salvajes Bingo</v>
      </c>
      <c r="G215" s="38" t="s">
        <v>571</v>
      </c>
      <c r="H215" s="38" t="s">
        <v>571</v>
      </c>
      <c r="I215" s="11">
        <v>0.08</v>
      </c>
      <c r="J215" s="11">
        <v>30</v>
      </c>
      <c r="K215" s="11">
        <v>0.2</v>
      </c>
      <c r="L215" s="143">
        <v>22500</v>
      </c>
      <c r="M215" s="211" t="s">
        <v>572</v>
      </c>
      <c r="N215" s="143" t="s">
        <v>127</v>
      </c>
      <c r="O215" s="93" t="s">
        <v>635</v>
      </c>
      <c r="P215" s="93" t="s">
        <v>26</v>
      </c>
      <c r="Q215" s="56">
        <v>0.223</v>
      </c>
      <c r="R215" s="60" t="s">
        <v>27</v>
      </c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ht="30.75">
      <c r="A216" s="7" t="s">
        <v>651</v>
      </c>
      <c r="B216" s="9" t="s">
        <v>569</v>
      </c>
      <c r="C216" s="14" t="s">
        <v>98</v>
      </c>
      <c r="D216" s="412">
        <v>43101</v>
      </c>
      <c r="E216" s="65" t="s">
        <v>652</v>
      </c>
      <c r="F216" s="208" t="str">
        <f>HYPERLINK(E216,A216)</f>
        <v>Magician Bingo</v>
      </c>
      <c r="G216" s="38" t="s">
        <v>571</v>
      </c>
      <c r="H216" s="38" t="s">
        <v>571</v>
      </c>
      <c r="I216" s="11">
        <v>0.08</v>
      </c>
      <c r="J216" s="11">
        <v>30</v>
      </c>
      <c r="K216" s="11">
        <v>0.2</v>
      </c>
      <c r="L216" s="143">
        <v>18750</v>
      </c>
      <c r="M216" s="211" t="s">
        <v>572</v>
      </c>
      <c r="N216" s="143" t="s">
        <v>573</v>
      </c>
      <c r="O216" s="93" t="s">
        <v>653</v>
      </c>
      <c r="P216" s="93" t="s">
        <v>26</v>
      </c>
      <c r="Q216" s="56">
        <v>0.51019999999999999</v>
      </c>
      <c r="R216" s="60" t="s">
        <v>43</v>
      </c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ht="30.75">
      <c r="A217" s="7" t="s">
        <v>654</v>
      </c>
      <c r="B217" s="9" t="s">
        <v>569</v>
      </c>
      <c r="C217" s="14" t="s">
        <v>98</v>
      </c>
      <c r="D217" s="412">
        <v>43661</v>
      </c>
      <c r="E217" s="65" t="s">
        <v>655</v>
      </c>
      <c r="F217" s="208" t="str">
        <f>HYPERLINK(E217,A217)</f>
        <v>Mariachis Bingo</v>
      </c>
      <c r="G217" s="38" t="s">
        <v>571</v>
      </c>
      <c r="H217" s="38" t="s">
        <v>571</v>
      </c>
      <c r="I217" s="11">
        <v>0.08</v>
      </c>
      <c r="J217" s="11">
        <v>30</v>
      </c>
      <c r="K217" s="11">
        <v>0.2</v>
      </c>
      <c r="L217" s="143">
        <v>15000</v>
      </c>
      <c r="M217" s="211" t="s">
        <v>572</v>
      </c>
      <c r="N217" s="143" t="s">
        <v>144</v>
      </c>
      <c r="O217" s="93" t="s">
        <v>656</v>
      </c>
      <c r="P217" s="93" t="s">
        <v>26</v>
      </c>
      <c r="Q217" s="56">
        <v>0.44840000000000002</v>
      </c>
      <c r="R217" s="60" t="s">
        <v>43</v>
      </c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ht="30.75">
      <c r="A218" s="7" t="s">
        <v>657</v>
      </c>
      <c r="B218" s="9" t="s">
        <v>569</v>
      </c>
      <c r="C218" s="14" t="s">
        <v>98</v>
      </c>
      <c r="D218" s="412">
        <v>45838</v>
      </c>
      <c r="E218" s="65" t="s">
        <v>658</v>
      </c>
      <c r="F218" s="208" t="str">
        <f>HYPERLINK(E218,A218)</f>
        <v>Mina De Oro Bingo</v>
      </c>
      <c r="G218" s="38" t="s">
        <v>659</v>
      </c>
      <c r="H218" s="38" t="s">
        <v>648</v>
      </c>
      <c r="I218" s="11">
        <v>0.08</v>
      </c>
      <c r="J218" s="11">
        <v>30</v>
      </c>
      <c r="K218" s="11">
        <v>0.2</v>
      </c>
      <c r="L218" s="143">
        <v>18750</v>
      </c>
      <c r="M218" s="211" t="s">
        <v>572</v>
      </c>
      <c r="N218" s="143" t="s">
        <v>573</v>
      </c>
      <c r="O218" s="93" t="s">
        <v>660</v>
      </c>
      <c r="P218" s="93" t="s">
        <v>26</v>
      </c>
      <c r="Q218" s="56">
        <v>0.12690000000000001</v>
      </c>
      <c r="R218" s="60" t="s">
        <v>27</v>
      </c>
    </row>
    <row r="219" spans="1:30" ht="30.75">
      <c r="A219" s="7" t="s">
        <v>661</v>
      </c>
      <c r="B219" s="9" t="s">
        <v>569</v>
      </c>
      <c r="C219" s="14" t="s">
        <v>98</v>
      </c>
      <c r="D219" s="412">
        <v>44130</v>
      </c>
      <c r="E219" s="65" t="s">
        <v>662</v>
      </c>
      <c r="F219" s="208" t="str">
        <f>HYPERLINK(E219,A219)</f>
        <v>Monsters Bingo</v>
      </c>
      <c r="G219" s="38" t="s">
        <v>571</v>
      </c>
      <c r="H219" s="38" t="s">
        <v>571</v>
      </c>
      <c r="I219" s="11">
        <v>0.08</v>
      </c>
      <c r="J219" s="11">
        <v>30</v>
      </c>
      <c r="K219" s="11">
        <v>0.2</v>
      </c>
      <c r="L219" s="143">
        <v>11250</v>
      </c>
      <c r="M219" s="211" t="s">
        <v>572</v>
      </c>
      <c r="N219" s="143" t="s">
        <v>580</v>
      </c>
      <c r="O219" s="93" t="s">
        <v>577</v>
      </c>
      <c r="P219" s="93" t="s">
        <v>26</v>
      </c>
      <c r="Q219" s="56">
        <v>0.52629999999999999</v>
      </c>
      <c r="R219" s="60" t="s">
        <v>43</v>
      </c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ht="30.75">
      <c r="A220" s="7" t="s">
        <v>663</v>
      </c>
      <c r="B220" s="9" t="s">
        <v>569</v>
      </c>
      <c r="C220" s="14" t="s">
        <v>98</v>
      </c>
      <c r="D220" s="412">
        <v>43101</v>
      </c>
      <c r="E220" s="65" t="s">
        <v>664</v>
      </c>
      <c r="F220" s="208" t="str">
        <f>HYPERLINK(E220,A220)</f>
        <v>Rock Live Bingo</v>
      </c>
      <c r="G220" s="38" t="s">
        <v>571</v>
      </c>
      <c r="H220" s="38" t="s">
        <v>571</v>
      </c>
      <c r="I220" s="11">
        <v>0.08</v>
      </c>
      <c r="J220" s="11">
        <v>30</v>
      </c>
      <c r="K220" s="11">
        <v>0.2</v>
      </c>
      <c r="L220" s="143">
        <v>11250</v>
      </c>
      <c r="M220" s="211" t="s">
        <v>572</v>
      </c>
      <c r="N220" s="143" t="s">
        <v>580</v>
      </c>
      <c r="O220" s="93" t="s">
        <v>665</v>
      </c>
      <c r="P220" s="93" t="s">
        <v>26</v>
      </c>
      <c r="Q220" s="56">
        <v>0.4587</v>
      </c>
      <c r="R220" s="60" t="s">
        <v>43</v>
      </c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ht="30.75">
      <c r="A221" s="7" t="s">
        <v>666</v>
      </c>
      <c r="B221" s="9" t="s">
        <v>569</v>
      </c>
      <c r="C221" s="14" t="s">
        <v>98</v>
      </c>
      <c r="D221" s="412">
        <v>43525</v>
      </c>
      <c r="E221" s="65" t="s">
        <v>667</v>
      </c>
      <c r="F221" s="208" t="str">
        <f>HYPERLINK(E221,A221)</f>
        <v>Roma Bingo</v>
      </c>
      <c r="G221" s="38" t="s">
        <v>571</v>
      </c>
      <c r="H221" s="38" t="s">
        <v>571</v>
      </c>
      <c r="I221" s="11">
        <v>0.08</v>
      </c>
      <c r="J221" s="11">
        <v>30</v>
      </c>
      <c r="K221" s="11">
        <v>0.2</v>
      </c>
      <c r="L221" s="143">
        <v>11250</v>
      </c>
      <c r="M221" s="211" t="s">
        <v>572</v>
      </c>
      <c r="N221" s="143" t="s">
        <v>580</v>
      </c>
      <c r="O221" s="93" t="s">
        <v>668</v>
      </c>
      <c r="P221" s="93" t="s">
        <v>26</v>
      </c>
      <c r="Q221" s="56">
        <v>0.75760000000000005</v>
      </c>
      <c r="R221" s="60" t="s">
        <v>43</v>
      </c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>
      <c r="A222" s="381" t="s">
        <v>669</v>
      </c>
      <c r="B222" s="9" t="s">
        <v>569</v>
      </c>
      <c r="C222" s="415" t="s">
        <v>20</v>
      </c>
      <c r="D222" s="406">
        <v>46209</v>
      </c>
      <c r="E222" s="363" t="s">
        <v>670</v>
      </c>
      <c r="F222" s="349" t="s">
        <v>669</v>
      </c>
      <c r="G222" s="334" t="s">
        <v>647</v>
      </c>
      <c r="H222" s="334" t="s">
        <v>648</v>
      </c>
      <c r="I222" s="364">
        <v>0.08</v>
      </c>
      <c r="J222" s="364">
        <v>30</v>
      </c>
      <c r="K222" s="364">
        <v>0.2</v>
      </c>
      <c r="L222" s="364">
        <v>30000</v>
      </c>
      <c r="M222" s="334" t="s">
        <v>572</v>
      </c>
      <c r="N222" s="334" t="s">
        <v>138</v>
      </c>
      <c r="O222" s="334" t="s">
        <v>671</v>
      </c>
      <c r="P222" s="334" t="s">
        <v>26</v>
      </c>
      <c r="Q222" s="334" t="s">
        <v>672</v>
      </c>
      <c r="R222" s="339" t="s">
        <v>27</v>
      </c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ht="30.75">
      <c r="A223" s="7" t="s">
        <v>673</v>
      </c>
      <c r="B223" s="9" t="s">
        <v>569</v>
      </c>
      <c r="C223" s="14" t="s">
        <v>98</v>
      </c>
      <c r="D223" s="412">
        <v>43948</v>
      </c>
      <c r="E223" s="65" t="s">
        <v>674</v>
      </c>
      <c r="F223" s="208" t="str">
        <f>HYPERLINK(E223,A223)</f>
        <v>Sea Bingo</v>
      </c>
      <c r="G223" s="38" t="s">
        <v>571</v>
      </c>
      <c r="H223" s="38" t="s">
        <v>571</v>
      </c>
      <c r="I223" s="11">
        <v>0.08</v>
      </c>
      <c r="J223" s="11">
        <v>30</v>
      </c>
      <c r="K223" s="11">
        <v>0.2</v>
      </c>
      <c r="L223" s="143">
        <v>11250</v>
      </c>
      <c r="M223" s="211" t="s">
        <v>572</v>
      </c>
      <c r="N223" s="143" t="s">
        <v>580</v>
      </c>
      <c r="O223" s="93" t="s">
        <v>623</v>
      </c>
      <c r="P223" s="93" t="s">
        <v>26</v>
      </c>
      <c r="Q223" s="56">
        <v>0.57469999999999999</v>
      </c>
      <c r="R223" s="60" t="s">
        <v>43</v>
      </c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ht="30.75">
      <c r="A224" s="7" t="s">
        <v>675</v>
      </c>
      <c r="B224" s="9" t="s">
        <v>569</v>
      </c>
      <c r="C224" s="14" t="s">
        <v>98</v>
      </c>
      <c r="D224" s="412">
        <v>43101</v>
      </c>
      <c r="E224" s="65" t="s">
        <v>676</v>
      </c>
      <c r="F224" s="208" t="str">
        <f>HYPERLINK(E224,A224)</f>
        <v>Sunken City Bingo</v>
      </c>
      <c r="G224" s="38"/>
      <c r="H224" s="38"/>
      <c r="I224" s="11">
        <v>0.08</v>
      </c>
      <c r="J224" s="11">
        <v>30</v>
      </c>
      <c r="K224" s="11">
        <v>0.2</v>
      </c>
      <c r="L224" s="143">
        <v>18750</v>
      </c>
      <c r="M224" s="211" t="s">
        <v>572</v>
      </c>
      <c r="N224" s="143" t="s">
        <v>573</v>
      </c>
      <c r="O224" s="93" t="s">
        <v>587</v>
      </c>
      <c r="P224" s="144" t="s">
        <v>26</v>
      </c>
      <c r="Q224" s="56">
        <v>8.0799999999999997E-2</v>
      </c>
      <c r="R224" s="60" t="s">
        <v>43</v>
      </c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ht="30.75">
      <c r="A225" s="7" t="s">
        <v>677</v>
      </c>
      <c r="B225" s="9" t="s">
        <v>569</v>
      </c>
      <c r="C225" s="14" t="s">
        <v>98</v>
      </c>
      <c r="D225" s="412">
        <v>44158</v>
      </c>
      <c r="E225" s="65" t="s">
        <v>678</v>
      </c>
      <c r="F225" s="208" t="str">
        <f>HYPERLINK(E225,A225)</f>
        <v>Sweet Home Bingo</v>
      </c>
      <c r="G225" s="38" t="s">
        <v>571</v>
      </c>
      <c r="H225" s="38" t="s">
        <v>571</v>
      </c>
      <c r="I225" s="11">
        <v>0.08</v>
      </c>
      <c r="J225" s="11">
        <v>30</v>
      </c>
      <c r="K225" s="11">
        <v>0.2</v>
      </c>
      <c r="L225" s="143">
        <v>15000</v>
      </c>
      <c r="M225" s="211" t="s">
        <v>572</v>
      </c>
      <c r="N225" s="143" t="s">
        <v>144</v>
      </c>
      <c r="O225" s="93" t="s">
        <v>679</v>
      </c>
      <c r="P225" s="93" t="s">
        <v>26</v>
      </c>
      <c r="Q225" s="56">
        <v>0.45050000000000001</v>
      </c>
      <c r="R225" s="60" t="s">
        <v>43</v>
      </c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ht="30.75">
      <c r="A226" s="7" t="s">
        <v>680</v>
      </c>
      <c r="B226" s="9" t="s">
        <v>569</v>
      </c>
      <c r="C226" s="14" t="s">
        <v>98</v>
      </c>
      <c r="D226" s="412">
        <v>43101</v>
      </c>
      <c r="E226" s="65" t="s">
        <v>681</v>
      </c>
      <c r="F226" s="208" t="str">
        <f>HYPERLINK(E226,A226)</f>
        <v>Vikings Bingo</v>
      </c>
      <c r="G226" s="38" t="s">
        <v>571</v>
      </c>
      <c r="H226" s="38" t="s">
        <v>571</v>
      </c>
      <c r="I226" s="11">
        <v>0.08</v>
      </c>
      <c r="J226" s="11">
        <v>30</v>
      </c>
      <c r="K226" s="11">
        <v>0.2</v>
      </c>
      <c r="L226" s="143">
        <v>15000</v>
      </c>
      <c r="M226" s="211" t="s">
        <v>572</v>
      </c>
      <c r="N226" s="143" t="s">
        <v>144</v>
      </c>
      <c r="O226" s="93" t="s">
        <v>623</v>
      </c>
      <c r="P226" s="93" t="s">
        <v>26</v>
      </c>
      <c r="Q226" s="56">
        <v>0.5181</v>
      </c>
      <c r="R226" s="60" t="s">
        <v>43</v>
      </c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ht="30.75">
      <c r="A227" s="21" t="s">
        <v>682</v>
      </c>
      <c r="B227" s="22" t="s">
        <v>569</v>
      </c>
      <c r="C227" s="30" t="s">
        <v>98</v>
      </c>
      <c r="D227" s="419">
        <v>43703</v>
      </c>
      <c r="E227" s="83" t="s">
        <v>683</v>
      </c>
      <c r="F227" s="217" t="str">
        <f>HYPERLINK(E227,A227)</f>
        <v>Zeus Bingo</v>
      </c>
      <c r="G227" s="41" t="s">
        <v>571</v>
      </c>
      <c r="H227" s="41" t="s">
        <v>571</v>
      </c>
      <c r="I227" s="24">
        <v>0.08</v>
      </c>
      <c r="J227" s="24">
        <v>30</v>
      </c>
      <c r="K227" s="24">
        <v>0.2</v>
      </c>
      <c r="L227" s="242">
        <v>18750</v>
      </c>
      <c r="M227" s="365" t="s">
        <v>572</v>
      </c>
      <c r="N227" s="242" t="s">
        <v>573</v>
      </c>
      <c r="O227" s="420" t="s">
        <v>684</v>
      </c>
      <c r="P227" s="420" t="s">
        <v>26</v>
      </c>
      <c r="Q227" s="58">
        <v>0.4975</v>
      </c>
      <c r="R227" s="63" t="s">
        <v>43</v>
      </c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ht="30.75">
      <c r="A228" s="25" t="s">
        <v>685</v>
      </c>
      <c r="B228" s="31" t="s">
        <v>686</v>
      </c>
      <c r="C228" s="26" t="s">
        <v>20</v>
      </c>
      <c r="D228" s="77" t="s">
        <v>687</v>
      </c>
      <c r="E228" s="106" t="s">
        <v>688</v>
      </c>
      <c r="F228" s="245" t="str">
        <f t="shared" ref="F215:F233" si="2">HYPERLINK(E228,A228)</f>
        <v>Ruleta Magic Red</v>
      </c>
      <c r="G228" s="42" t="s">
        <v>689</v>
      </c>
      <c r="H228" s="42" t="s">
        <v>689</v>
      </c>
      <c r="I228" s="28">
        <v>0.1</v>
      </c>
      <c r="J228" s="28">
        <v>100</v>
      </c>
      <c r="K228" s="48">
        <v>0.1</v>
      </c>
      <c r="L228" s="232">
        <v>50000</v>
      </c>
      <c r="M228" s="238" t="s">
        <v>690</v>
      </c>
      <c r="N228" s="243" t="s">
        <v>144</v>
      </c>
      <c r="O228" s="54" t="s">
        <v>691</v>
      </c>
      <c r="P228" s="54" t="s">
        <v>26</v>
      </c>
      <c r="Q228" s="27" t="s">
        <v>689</v>
      </c>
      <c r="R228" s="59" t="s">
        <v>689</v>
      </c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ht="30.75">
      <c r="A229" s="7" t="s">
        <v>692</v>
      </c>
      <c r="B229" s="32" t="s">
        <v>686</v>
      </c>
      <c r="C229" s="9" t="s">
        <v>20</v>
      </c>
      <c r="D229" s="78">
        <v>44711</v>
      </c>
      <c r="E229" s="104" t="s">
        <v>693</v>
      </c>
      <c r="F229" s="208" t="str">
        <f t="shared" si="2"/>
        <v>Ruleta Grand Croupier María Lapiedra</v>
      </c>
      <c r="G229" s="38" t="s">
        <v>689</v>
      </c>
      <c r="H229" s="38" t="s">
        <v>689</v>
      </c>
      <c r="I229" s="11">
        <v>0.1</v>
      </c>
      <c r="J229" s="11">
        <v>2000</v>
      </c>
      <c r="K229" s="46">
        <v>0.1</v>
      </c>
      <c r="L229" s="229">
        <v>28800</v>
      </c>
      <c r="M229" s="52" t="s">
        <v>690</v>
      </c>
      <c r="N229" s="143" t="s">
        <v>694</v>
      </c>
      <c r="O229" s="50" t="s">
        <v>691</v>
      </c>
      <c r="P229" s="50" t="s">
        <v>26</v>
      </c>
      <c r="Q229" s="10" t="s">
        <v>689</v>
      </c>
      <c r="R229" s="60" t="s">
        <v>32</v>
      </c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ht="30.75">
      <c r="A230" s="7" t="s">
        <v>695</v>
      </c>
      <c r="B230" s="32" t="s">
        <v>686</v>
      </c>
      <c r="C230" s="9" t="s">
        <v>20</v>
      </c>
      <c r="D230" s="78">
        <v>44676</v>
      </c>
      <c r="E230" s="104" t="s">
        <v>696</v>
      </c>
      <c r="F230" s="208" t="str">
        <f t="shared" si="2"/>
        <v>Ruleta Grand Croupier Chiquito</v>
      </c>
      <c r="G230" s="38" t="s">
        <v>689</v>
      </c>
      <c r="H230" s="38" t="s">
        <v>689</v>
      </c>
      <c r="I230" s="11">
        <v>0.1</v>
      </c>
      <c r="J230" s="11">
        <v>2000</v>
      </c>
      <c r="K230" s="46">
        <v>0.1</v>
      </c>
      <c r="L230" s="229">
        <v>28800</v>
      </c>
      <c r="M230" s="52" t="s">
        <v>690</v>
      </c>
      <c r="N230" s="143" t="s">
        <v>694</v>
      </c>
      <c r="O230" s="50" t="s">
        <v>691</v>
      </c>
      <c r="P230" s="50" t="s">
        <v>26</v>
      </c>
      <c r="Q230" s="10" t="s">
        <v>689</v>
      </c>
      <c r="R230" s="60" t="s">
        <v>32</v>
      </c>
    </row>
    <row r="231" spans="1:30" ht="30.75">
      <c r="A231" s="7" t="s">
        <v>697</v>
      </c>
      <c r="B231" s="32" t="s">
        <v>686</v>
      </c>
      <c r="C231" s="9" t="s">
        <v>20</v>
      </c>
      <c r="D231" s="78">
        <v>44620</v>
      </c>
      <c r="E231" s="104" t="s">
        <v>698</v>
      </c>
      <c r="F231" s="208" t="str">
        <f t="shared" si="2"/>
        <v>Ruleta Grand Croupier Sonia Monroy</v>
      </c>
      <c r="G231" s="38" t="s">
        <v>689</v>
      </c>
      <c r="H231" s="38" t="s">
        <v>689</v>
      </c>
      <c r="I231" s="11">
        <v>0.1</v>
      </c>
      <c r="J231" s="11">
        <v>2000</v>
      </c>
      <c r="K231" s="46">
        <v>0.1</v>
      </c>
      <c r="L231" s="229">
        <v>28800</v>
      </c>
      <c r="M231" s="52" t="s">
        <v>690</v>
      </c>
      <c r="N231" s="143" t="s">
        <v>694</v>
      </c>
      <c r="O231" s="50" t="s">
        <v>691</v>
      </c>
      <c r="P231" s="50" t="s">
        <v>26</v>
      </c>
      <c r="Q231" s="10" t="s">
        <v>689</v>
      </c>
      <c r="R231" s="60" t="s">
        <v>32</v>
      </c>
    </row>
    <row r="232" spans="1:30" ht="30.75">
      <c r="A232" s="7" t="s">
        <v>699</v>
      </c>
      <c r="B232" s="32" t="s">
        <v>686</v>
      </c>
      <c r="C232" s="9" t="s">
        <v>20</v>
      </c>
      <c r="D232" s="78">
        <v>44620</v>
      </c>
      <c r="E232" s="104" t="s">
        <v>700</v>
      </c>
      <c r="F232" s="208" t="str">
        <f t="shared" si="2"/>
        <v>Ruleta Grand Croupier El Dioni</v>
      </c>
      <c r="G232" s="38" t="s">
        <v>689</v>
      </c>
      <c r="H232" s="38" t="s">
        <v>689</v>
      </c>
      <c r="I232" s="11">
        <v>0.1</v>
      </c>
      <c r="J232" s="11">
        <v>2000</v>
      </c>
      <c r="K232" s="46">
        <v>0.1</v>
      </c>
      <c r="L232" s="229">
        <v>28800</v>
      </c>
      <c r="M232" s="52" t="s">
        <v>690</v>
      </c>
      <c r="N232" s="143" t="s">
        <v>694</v>
      </c>
      <c r="O232" s="50" t="s">
        <v>691</v>
      </c>
      <c r="P232" s="50" t="s">
        <v>26</v>
      </c>
      <c r="Q232" s="10" t="s">
        <v>689</v>
      </c>
      <c r="R232" s="60" t="s">
        <v>32</v>
      </c>
    </row>
    <row r="233" spans="1:30" ht="30.75">
      <c r="A233" s="21" t="s">
        <v>701</v>
      </c>
      <c r="B233" s="33" t="s">
        <v>686</v>
      </c>
      <c r="C233" s="22" t="s">
        <v>20</v>
      </c>
      <c r="D233" s="79">
        <v>44620</v>
      </c>
      <c r="E233" s="105" t="s">
        <v>702</v>
      </c>
      <c r="F233" s="217" t="str">
        <f t="shared" si="2"/>
        <v>Ruleta Grand Croupier Sc</v>
      </c>
      <c r="G233" s="41" t="s">
        <v>689</v>
      </c>
      <c r="H233" s="41" t="s">
        <v>689</v>
      </c>
      <c r="I233" s="24">
        <v>0.1</v>
      </c>
      <c r="J233" s="24">
        <v>2000</v>
      </c>
      <c r="K233" s="47">
        <v>0.1</v>
      </c>
      <c r="L233" s="231">
        <v>28800</v>
      </c>
      <c r="M233" s="237" t="s">
        <v>690</v>
      </c>
      <c r="N233" s="242" t="s">
        <v>694</v>
      </c>
      <c r="O233" s="53" t="s">
        <v>691</v>
      </c>
      <c r="P233" s="53" t="s">
        <v>26</v>
      </c>
      <c r="Q233" s="23" t="s">
        <v>689</v>
      </c>
      <c r="R233" s="63" t="s">
        <v>32</v>
      </c>
    </row>
    <row r="234" spans="1:30">
      <c r="A234" s="5"/>
      <c r="B234" s="1"/>
      <c r="C234" s="1"/>
      <c r="D234" s="80"/>
      <c r="E234" s="5"/>
      <c r="F234" s="1"/>
      <c r="G234" s="43"/>
      <c r="H234" s="43"/>
      <c r="I234" s="34"/>
      <c r="J234" s="34"/>
      <c r="K234" s="34"/>
      <c r="L234" s="233"/>
      <c r="M234" s="239"/>
      <c r="N234" s="233"/>
      <c r="O234" s="35"/>
      <c r="P234" s="35"/>
      <c r="Q234" s="34"/>
      <c r="R234" s="34"/>
    </row>
  </sheetData>
  <sortState xmlns:xlrd2="http://schemas.microsoft.com/office/spreadsheetml/2017/richdata2" ref="A14:R189">
    <sortCondition ref="A14:A189"/>
  </sortState>
  <dataValidations count="1">
    <dataValidation type="date" allowBlank="1" showInputMessage="1" showErrorMessage="1" sqref="D1:D1048576" xr:uid="{C3B81BBC-8336-40E4-96BF-1BE5CEC3833F}">
      <formula1>36526</formula1>
      <formula2>73051</formula2>
    </dataValidation>
  </dataValidations>
  <hyperlinks>
    <hyperlink ref="E54" r:id="rId1" xr:uid="{B5995291-4095-482C-8C15-62B0FB41225A}"/>
    <hyperlink ref="E52" r:id="rId2" xr:uid="{9499A3FB-C525-4894-938B-851F5ADDF6BE}"/>
    <hyperlink ref="E51" r:id="rId3" xr:uid="{2605CBE0-82BF-41C8-8061-36A9B526BC6C}"/>
    <hyperlink ref="E95" r:id="rId4" xr:uid="{CF9318DA-ACE4-4C29-980D-20E663547206}"/>
    <hyperlink ref="E2" r:id="rId5" xr:uid="{C9F97C79-6334-44DA-9EC6-E5BDAE323388}"/>
    <hyperlink ref="E65" r:id="rId6" xr:uid="{DEEF945E-3A70-46F1-A9BE-F31C9BF0A7A6}"/>
    <hyperlink ref="F65" r:id="rId7" xr:uid="{76DCA307-DCDE-4AB1-9BF8-4B0A7E8E3F17}"/>
    <hyperlink ref="E8" r:id="rId8" xr:uid="{E4545864-2B85-43A2-9580-B9D4938A2D4B}"/>
    <hyperlink ref="F8" r:id="rId9" xr:uid="{437B6695-34AA-41F8-8CE4-F55A0E64CB00}"/>
    <hyperlink ref="E53" r:id="rId10" xr:uid="{13DFAFEE-9FF2-40B1-BA11-9249113BD7D0}"/>
    <hyperlink ref="F53" r:id="rId11" xr:uid="{1BEC4114-74AA-419F-803F-BC801C477F2F}"/>
    <hyperlink ref="E76" r:id="rId12" xr:uid="{4A736348-D50B-43F2-8F8D-835C6791342C}"/>
    <hyperlink ref="F76" r:id="rId13" xr:uid="{CD65C62E-12BC-4E52-96A3-2874F7045A10}"/>
    <hyperlink ref="E93" r:id="rId14" xr:uid="{8798D899-19F2-4A16-B453-EE496519628A}"/>
    <hyperlink ref="F93" r:id="rId15" xr:uid="{9268BA59-FA61-42E7-BB4D-8046F83AA0F2}"/>
    <hyperlink ref="E28" r:id="rId16" xr:uid="{E007C9D7-D744-4401-817F-C110313E81C6}"/>
    <hyperlink ref="F28" r:id="rId17" xr:uid="{D3AFAB15-CEAA-4061-A9C6-25646F16158E}"/>
    <hyperlink ref="E77" r:id="rId18" xr:uid="{FACF99B8-956B-4426-B2F3-93FDF42861DB}"/>
    <hyperlink ref="E160" r:id="rId19" xr:uid="{49364E3C-73DA-4CAB-92D6-256CEA7E1133}"/>
    <hyperlink ref="F160" r:id="rId20" xr:uid="{A8365250-3FE8-4E37-80A6-D6981C57AFE9}"/>
    <hyperlink ref="E74" r:id="rId21" xr:uid="{7420FACF-0E16-4B9E-810F-C51B3FFF4D32}"/>
    <hyperlink ref="F74" r:id="rId22" xr:uid="{AE1345A8-F40B-41B0-AC68-4C2ADF5C194C}"/>
    <hyperlink ref="E222" r:id="rId23" xr:uid="{92B11D46-912B-4E74-87CA-37238C46BCE3}"/>
    <hyperlink ref="F222" r:id="rId24" xr:uid="{6354AE01-BC7F-4BFD-9DDB-31C818D0FD68}"/>
    <hyperlink ref="E106" r:id="rId25" xr:uid="{D19F37DD-D678-48C4-93E6-F9FBC22C490D}"/>
    <hyperlink ref="F106" r:id="rId26" xr:uid="{D21C3132-E6DF-4449-85B9-D41830DD1E94}"/>
    <hyperlink ref="E140" r:id="rId27" xr:uid="{7395F9A4-FF0D-4384-B580-A56076D31C89}"/>
    <hyperlink ref="F140" r:id="rId28" xr:uid="{4F30E385-49A8-4329-9CCE-7E45697D5407}"/>
    <hyperlink ref="E42" r:id="rId29" xr:uid="{411180AA-BFAD-4947-B171-C2790A4E12AA}"/>
    <hyperlink ref="F42" r:id="rId30" xr:uid="{3D729494-CED3-4A68-9921-705C6EF7C9E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78A2-8E22-4D08-ABE7-58A524F13557}">
  <dimension ref="A1:AK69"/>
  <sheetViews>
    <sheetView tabSelected="1" workbookViewId="0">
      <pane xSplit="2" ySplit="1" topLeftCell="M47" activePane="bottomRight" state="frozen"/>
      <selection pane="bottomRight" sqref="A1:XFD1048576"/>
      <selection pane="bottomLeft"/>
      <selection pane="topRight"/>
    </sheetView>
  </sheetViews>
  <sheetFormatPr defaultColWidth="9.140625" defaultRowHeight="15"/>
  <cols>
    <col min="1" max="1" width="38.5703125" style="6" bestFit="1" customWidth="1"/>
    <col min="2" max="2" width="13.42578125" style="6" bestFit="1" customWidth="1"/>
    <col min="3" max="3" width="10.28515625" style="6" bestFit="1" customWidth="1"/>
    <col min="4" max="4" width="13.7109375" style="360" customWidth="1"/>
    <col min="5" max="5" width="51.28515625" style="6" hidden="1" customWidth="1"/>
    <col min="6" max="6" width="37.7109375" style="90" bestFit="1" customWidth="1"/>
    <col min="7" max="7" width="18.7109375" style="2" bestFit="1" customWidth="1"/>
    <col min="8" max="8" width="9.85546875" style="6" bestFit="1" customWidth="1"/>
    <col min="9" max="9" width="6.140625" style="6" bestFit="1" customWidth="1"/>
    <col min="10" max="10" width="13.85546875" style="96" bestFit="1" customWidth="1"/>
    <col min="11" max="11" width="14.140625" style="96" bestFit="1" customWidth="1"/>
    <col min="12" max="12" width="14.140625" style="96" customWidth="1"/>
    <col min="13" max="13" width="35.42578125" style="269" customWidth="1"/>
    <col min="14" max="14" width="60" style="97" customWidth="1"/>
    <col min="15" max="15" width="33.28515625" style="234" customWidth="1"/>
    <col min="16" max="16" width="48" style="97" bestFit="1" customWidth="1"/>
    <col min="17" max="17" width="8.28515625" style="36" bestFit="1" customWidth="1"/>
    <col min="18" max="18" width="9.7109375" style="99" bestFit="1" customWidth="1"/>
    <col min="19" max="19" width="13.42578125" style="36" bestFit="1" customWidth="1"/>
    <col min="20" max="16384" width="9.140625" style="6"/>
  </cols>
  <sheetData>
    <row r="1" spans="1:37" ht="32.25">
      <c r="A1" s="314" t="s">
        <v>0</v>
      </c>
      <c r="B1" s="117" t="s">
        <v>1</v>
      </c>
      <c r="C1" s="67" t="s">
        <v>2</v>
      </c>
      <c r="D1" s="163" t="s">
        <v>3</v>
      </c>
      <c r="E1" s="178" t="s">
        <v>4</v>
      </c>
      <c r="F1" s="122" t="s">
        <v>5</v>
      </c>
      <c r="G1" s="122" t="s">
        <v>703</v>
      </c>
      <c r="H1" s="164" t="s">
        <v>6</v>
      </c>
      <c r="I1" s="164" t="s">
        <v>7</v>
      </c>
      <c r="J1" s="179" t="s">
        <v>704</v>
      </c>
      <c r="K1" s="179" t="s">
        <v>705</v>
      </c>
      <c r="L1" s="284" t="s">
        <v>706</v>
      </c>
      <c r="M1" s="253" t="s">
        <v>707</v>
      </c>
      <c r="N1" s="254" t="s">
        <v>708</v>
      </c>
      <c r="O1" s="227" t="s">
        <v>13</v>
      </c>
      <c r="P1" s="255" t="s">
        <v>14</v>
      </c>
      <c r="Q1" s="67" t="s">
        <v>15</v>
      </c>
      <c r="R1" s="180" t="s">
        <v>16</v>
      </c>
      <c r="S1" s="122" t="s">
        <v>17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2"/>
      <c r="AG1" s="2"/>
      <c r="AH1" s="2"/>
      <c r="AI1" s="2"/>
      <c r="AJ1" s="2"/>
      <c r="AK1" s="2"/>
    </row>
    <row r="2" spans="1:37" ht="45.75">
      <c r="A2" s="125" t="s">
        <v>709</v>
      </c>
      <c r="B2" s="160" t="s">
        <v>19</v>
      </c>
      <c r="C2" s="107" t="s">
        <v>20</v>
      </c>
      <c r="D2" s="353">
        <v>45075</v>
      </c>
      <c r="E2" s="172" t="s">
        <v>710</v>
      </c>
      <c r="F2" s="215" t="str">
        <f t="shared" ref="F2:F34" si="0">HYPERLINK(E2,A2)&amp;" Demo"</f>
        <v>777 Quente Megaways Demo</v>
      </c>
      <c r="G2" s="173" t="s">
        <v>711</v>
      </c>
      <c r="H2" s="74">
        <v>117649</v>
      </c>
      <c r="I2" s="74">
        <v>6</v>
      </c>
      <c r="J2" s="4">
        <v>0.2</v>
      </c>
      <c r="K2" s="174">
        <v>10</v>
      </c>
      <c r="L2" s="174">
        <v>0.2</v>
      </c>
      <c r="M2" s="256" t="s">
        <v>712</v>
      </c>
      <c r="N2" s="175" t="s">
        <v>713</v>
      </c>
      <c r="O2" s="257" t="s">
        <v>24</v>
      </c>
      <c r="P2" s="134" t="s">
        <v>25</v>
      </c>
      <c r="Q2" s="74" t="s">
        <v>26</v>
      </c>
      <c r="R2" s="57">
        <v>0.34279999999999999</v>
      </c>
      <c r="S2" s="62" t="s">
        <v>27</v>
      </c>
    </row>
    <row r="3" spans="1:37" ht="45.75">
      <c r="A3" s="7" t="s">
        <v>714</v>
      </c>
      <c r="B3" s="8" t="s">
        <v>19</v>
      </c>
      <c r="C3" s="9" t="s">
        <v>20</v>
      </c>
      <c r="D3" s="354">
        <v>44706</v>
      </c>
      <c r="E3" s="65" t="s">
        <v>715</v>
      </c>
      <c r="F3" s="208" t="str">
        <f t="shared" si="0"/>
        <v>Campeao Do Boxe Demo</v>
      </c>
      <c r="G3" s="100" t="s">
        <v>716</v>
      </c>
      <c r="H3" s="10">
        <v>117649</v>
      </c>
      <c r="I3" s="10">
        <v>6</v>
      </c>
      <c r="J3" s="11">
        <v>0.2</v>
      </c>
      <c r="K3" s="11">
        <v>10</v>
      </c>
      <c r="L3" s="11">
        <v>0.2</v>
      </c>
      <c r="M3" s="143" t="s">
        <v>717</v>
      </c>
      <c r="N3" s="86" t="s">
        <v>713</v>
      </c>
      <c r="O3" s="211" t="s">
        <v>71</v>
      </c>
      <c r="P3" s="87" t="s">
        <v>72</v>
      </c>
      <c r="Q3" s="10" t="s">
        <v>26</v>
      </c>
      <c r="R3" s="56">
        <v>0.34279999999999999</v>
      </c>
      <c r="S3" s="60" t="s">
        <v>43</v>
      </c>
    </row>
    <row r="4" spans="1:37" ht="30.75">
      <c r="A4" s="7" t="s">
        <v>718</v>
      </c>
      <c r="B4" s="8" t="s">
        <v>19</v>
      </c>
      <c r="C4" s="9" t="s">
        <v>20</v>
      </c>
      <c r="D4" s="354">
        <v>45775</v>
      </c>
      <c r="E4" s="85" t="s">
        <v>719</v>
      </c>
      <c r="F4" s="208" t="str">
        <f t="shared" si="0"/>
        <v>Delicias Do Chef Megaways Demo</v>
      </c>
      <c r="G4" s="100" t="s">
        <v>720</v>
      </c>
      <c r="H4" s="10">
        <v>117649</v>
      </c>
      <c r="I4" s="10">
        <v>7</v>
      </c>
      <c r="J4" s="11">
        <v>0.2</v>
      </c>
      <c r="K4" s="11">
        <v>10</v>
      </c>
      <c r="L4" s="11">
        <v>0.2</v>
      </c>
      <c r="M4" s="143">
        <v>50000</v>
      </c>
      <c r="N4" s="86" t="s">
        <v>713</v>
      </c>
      <c r="O4" s="211" t="s">
        <v>30</v>
      </c>
      <c r="P4" s="87" t="s">
        <v>31</v>
      </c>
      <c r="Q4" s="10" t="s">
        <v>26</v>
      </c>
      <c r="R4" s="56">
        <v>0.46079999999999999</v>
      </c>
      <c r="S4" s="60" t="s">
        <v>32</v>
      </c>
    </row>
    <row r="5" spans="1:37" ht="30.75">
      <c r="A5" s="7" t="s">
        <v>721</v>
      </c>
      <c r="B5" s="8" t="s">
        <v>19</v>
      </c>
      <c r="C5" s="9" t="s">
        <v>20</v>
      </c>
      <c r="D5" s="354">
        <v>45957</v>
      </c>
      <c r="E5" s="85" t="s">
        <v>722</v>
      </c>
      <c r="F5" s="208" t="str">
        <f t="shared" si="0"/>
        <v>Doce Fortuna Megaways Demo</v>
      </c>
      <c r="G5" s="317" t="s">
        <v>723</v>
      </c>
      <c r="H5" s="10">
        <v>117649</v>
      </c>
      <c r="I5" s="10">
        <v>6</v>
      </c>
      <c r="J5" s="11">
        <v>0.2</v>
      </c>
      <c r="K5" s="11">
        <v>10</v>
      </c>
      <c r="L5" s="11">
        <v>0.2</v>
      </c>
      <c r="M5" s="143">
        <v>50000</v>
      </c>
      <c r="N5" s="86" t="s">
        <v>713</v>
      </c>
      <c r="O5" s="211" t="s">
        <v>30</v>
      </c>
      <c r="P5" s="87" t="s">
        <v>35</v>
      </c>
      <c r="Q5" s="87" t="s">
        <v>26</v>
      </c>
      <c r="R5" s="56">
        <v>0.4405</v>
      </c>
      <c r="S5" s="60" t="s">
        <v>27</v>
      </c>
    </row>
    <row r="6" spans="1:37" ht="45.75">
      <c r="A6" s="7" t="s">
        <v>724</v>
      </c>
      <c r="B6" s="8" t="s">
        <v>19</v>
      </c>
      <c r="C6" s="9" t="s">
        <v>20</v>
      </c>
      <c r="D6" s="354">
        <v>44830</v>
      </c>
      <c r="E6" s="65" t="s">
        <v>725</v>
      </c>
      <c r="F6" s="208" t="str">
        <f t="shared" si="0"/>
        <v>Feiticeiro Do Fogo Demo</v>
      </c>
      <c r="G6" s="100" t="s">
        <v>726</v>
      </c>
      <c r="H6" s="10">
        <v>117649</v>
      </c>
      <c r="I6" s="10">
        <v>6</v>
      </c>
      <c r="J6" s="11">
        <v>0.2</v>
      </c>
      <c r="K6" s="11">
        <v>10</v>
      </c>
      <c r="L6" s="11">
        <v>0.2</v>
      </c>
      <c r="M6" s="143" t="s">
        <v>727</v>
      </c>
      <c r="N6" s="86" t="s">
        <v>713</v>
      </c>
      <c r="O6" s="211" t="s">
        <v>66</v>
      </c>
      <c r="P6" s="87" t="s">
        <v>67</v>
      </c>
      <c r="Q6" s="10" t="s">
        <v>26</v>
      </c>
      <c r="R6" s="56">
        <v>0.3523</v>
      </c>
      <c r="S6" s="60" t="s">
        <v>43</v>
      </c>
    </row>
    <row r="7" spans="1:37" ht="30.75">
      <c r="A7" s="7" t="s">
        <v>728</v>
      </c>
      <c r="B7" s="8" t="s">
        <v>19</v>
      </c>
      <c r="C7" s="9" t="s">
        <v>20</v>
      </c>
      <c r="D7" s="355">
        <v>45502</v>
      </c>
      <c r="E7" s="65" t="s">
        <v>729</v>
      </c>
      <c r="F7" s="208" t="str">
        <f t="shared" si="0"/>
        <v>Leva-Te O Dinheiro Megaways Demo</v>
      </c>
      <c r="G7" s="100" t="s">
        <v>730</v>
      </c>
      <c r="H7" s="10">
        <v>117649</v>
      </c>
      <c r="I7" s="10">
        <v>6</v>
      </c>
      <c r="J7" s="11">
        <v>0.2</v>
      </c>
      <c r="K7" s="11">
        <v>10</v>
      </c>
      <c r="L7" s="11">
        <v>0.2</v>
      </c>
      <c r="M7" s="143">
        <v>50000</v>
      </c>
      <c r="N7" s="86" t="s">
        <v>713</v>
      </c>
      <c r="O7" s="211" t="s">
        <v>30</v>
      </c>
      <c r="P7" s="87" t="s">
        <v>42</v>
      </c>
      <c r="Q7" s="10" t="s">
        <v>26</v>
      </c>
      <c r="R7" s="56">
        <v>0.23</v>
      </c>
      <c r="S7" s="60" t="s">
        <v>43</v>
      </c>
    </row>
    <row r="8" spans="1:37" ht="30.75">
      <c r="A8" s="7" t="s">
        <v>731</v>
      </c>
      <c r="B8" s="8" t="s">
        <v>19</v>
      </c>
      <c r="C8" s="9" t="s">
        <v>20</v>
      </c>
      <c r="D8" s="354">
        <v>45594</v>
      </c>
      <c r="E8" s="65" t="s">
        <v>732</v>
      </c>
      <c r="F8" s="208" t="str">
        <f t="shared" si="0"/>
        <v>Mar Dourado Megaways Demo</v>
      </c>
      <c r="G8" s="100" t="s">
        <v>733</v>
      </c>
      <c r="H8" s="10">
        <v>117649</v>
      </c>
      <c r="I8" s="10">
        <v>7</v>
      </c>
      <c r="J8" s="11">
        <v>0.2</v>
      </c>
      <c r="K8" s="11">
        <v>20</v>
      </c>
      <c r="L8" s="11">
        <v>1</v>
      </c>
      <c r="M8" s="143">
        <v>25000</v>
      </c>
      <c r="N8" s="86" t="s">
        <v>734</v>
      </c>
      <c r="O8" s="211" t="s">
        <v>47</v>
      </c>
      <c r="P8" s="87" t="s">
        <v>48</v>
      </c>
      <c r="Q8" s="10" t="s">
        <v>26</v>
      </c>
      <c r="R8" s="56">
        <v>0.34279999999999999</v>
      </c>
      <c r="S8" s="60" t="s">
        <v>43</v>
      </c>
    </row>
    <row r="9" spans="1:37">
      <c r="A9" s="325" t="s">
        <v>49</v>
      </c>
      <c r="B9" s="361" t="s">
        <v>19</v>
      </c>
      <c r="C9" s="9" t="s">
        <v>20</v>
      </c>
      <c r="D9" s="362">
        <v>46111</v>
      </c>
      <c r="E9" s="363" t="s">
        <v>735</v>
      </c>
      <c r="F9" s="363" t="s">
        <v>51</v>
      </c>
      <c r="G9" s="344" t="s">
        <v>736</v>
      </c>
      <c r="H9" s="334">
        <v>117649</v>
      </c>
      <c r="I9" s="334">
        <v>6</v>
      </c>
      <c r="J9" s="364">
        <v>0.2</v>
      </c>
      <c r="K9" s="364">
        <v>20</v>
      </c>
      <c r="L9" s="364">
        <v>1</v>
      </c>
      <c r="M9" s="334" t="s">
        <v>737</v>
      </c>
      <c r="N9" s="334" t="s">
        <v>734</v>
      </c>
      <c r="O9" s="334" t="s">
        <v>56</v>
      </c>
      <c r="P9" s="334" t="s">
        <v>48</v>
      </c>
      <c r="Q9" s="334" t="s">
        <v>26</v>
      </c>
      <c r="R9" s="334" t="s">
        <v>58</v>
      </c>
      <c r="S9" s="339" t="s">
        <v>32</v>
      </c>
    </row>
    <row r="10" spans="1:37" ht="30.75">
      <c r="A10" s="7" t="s">
        <v>738</v>
      </c>
      <c r="B10" s="8" t="s">
        <v>19</v>
      </c>
      <c r="C10" s="9" t="s">
        <v>20</v>
      </c>
      <c r="D10" s="354">
        <v>45138</v>
      </c>
      <c r="E10" s="65" t="s">
        <v>739</v>
      </c>
      <c r="F10" s="208" t="str">
        <f t="shared" si="0"/>
        <v>Mina De Ouro Mania Megaways Demo</v>
      </c>
      <c r="G10" s="100" t="s">
        <v>740</v>
      </c>
      <c r="H10" s="10">
        <v>117649</v>
      </c>
      <c r="I10" s="10">
        <v>6</v>
      </c>
      <c r="J10" s="11">
        <v>0.2</v>
      </c>
      <c r="K10" s="11">
        <v>10</v>
      </c>
      <c r="L10" s="11">
        <v>0.2</v>
      </c>
      <c r="M10" s="143">
        <v>21000</v>
      </c>
      <c r="N10" s="86" t="s">
        <v>713</v>
      </c>
      <c r="O10" s="211" t="s">
        <v>61</v>
      </c>
      <c r="P10" s="87" t="s">
        <v>62</v>
      </c>
      <c r="Q10" s="10" t="s">
        <v>26</v>
      </c>
      <c r="R10" s="56">
        <v>0.43290000000000001</v>
      </c>
      <c r="S10" s="60" t="s">
        <v>43</v>
      </c>
    </row>
    <row r="11" spans="1:37" ht="30.75">
      <c r="A11" s="7" t="s">
        <v>741</v>
      </c>
      <c r="B11" s="8" t="s">
        <v>19</v>
      </c>
      <c r="C11" s="9" t="s">
        <v>20</v>
      </c>
      <c r="D11" s="354">
        <v>45684</v>
      </c>
      <c r="E11" s="65" t="s">
        <v>742</v>
      </c>
      <c r="F11" s="208" t="str">
        <f t="shared" si="0"/>
        <v>Segredos Da Pérsia Megaways Demo</v>
      </c>
      <c r="G11" s="100" t="s">
        <v>743</v>
      </c>
      <c r="H11" s="10">
        <v>117649</v>
      </c>
      <c r="I11" s="10">
        <v>7</v>
      </c>
      <c r="J11" s="11">
        <v>0.2</v>
      </c>
      <c r="K11" s="11">
        <v>10</v>
      </c>
      <c r="L11" s="11">
        <v>0.2</v>
      </c>
      <c r="M11" s="143">
        <v>21000</v>
      </c>
      <c r="N11" s="86" t="s">
        <v>713</v>
      </c>
      <c r="O11" s="211" t="s">
        <v>61</v>
      </c>
      <c r="P11" s="87" t="s">
        <v>75</v>
      </c>
      <c r="Q11" s="10" t="s">
        <v>26</v>
      </c>
      <c r="R11" s="56">
        <v>0.23169999999999999</v>
      </c>
      <c r="S11" s="60" t="s">
        <v>43</v>
      </c>
    </row>
    <row r="12" spans="1:37" ht="30.75">
      <c r="A12" s="108" t="s">
        <v>744</v>
      </c>
      <c r="B12" s="169" t="s">
        <v>19</v>
      </c>
      <c r="C12" s="394" t="s">
        <v>20</v>
      </c>
      <c r="D12" s="407">
        <v>45349</v>
      </c>
      <c r="E12" s="408" t="s">
        <v>745</v>
      </c>
      <c r="F12" s="220" t="str">
        <f t="shared" si="0"/>
        <v>Velho Oeste Mania Megaways Demo</v>
      </c>
      <c r="G12" s="183" t="s">
        <v>746</v>
      </c>
      <c r="H12" s="150">
        <v>117649</v>
      </c>
      <c r="I12" s="150">
        <v>6</v>
      </c>
      <c r="J12" s="112">
        <v>0.2</v>
      </c>
      <c r="K12" s="112">
        <v>10</v>
      </c>
      <c r="L12" s="112">
        <v>0.2</v>
      </c>
      <c r="M12" s="241">
        <v>50000</v>
      </c>
      <c r="N12" s="409" t="s">
        <v>713</v>
      </c>
      <c r="O12" s="410" t="s">
        <v>30</v>
      </c>
      <c r="P12" s="222" t="s">
        <v>38</v>
      </c>
      <c r="Q12" s="150" t="s">
        <v>26</v>
      </c>
      <c r="R12" s="115">
        <v>0.4098</v>
      </c>
      <c r="S12" s="116" t="s">
        <v>39</v>
      </c>
    </row>
    <row r="13" spans="1:37">
      <c r="A13" s="3" t="s">
        <v>747</v>
      </c>
      <c r="B13" s="167" t="s">
        <v>77</v>
      </c>
      <c r="C13" s="107" t="s">
        <v>20</v>
      </c>
      <c r="D13" s="411">
        <v>45638</v>
      </c>
      <c r="E13" s="181" t="s">
        <v>748</v>
      </c>
      <c r="F13" s="215" t="str">
        <f t="shared" si="0"/>
        <v>A Mina De Ouro Golden Edition Demo</v>
      </c>
      <c r="G13" s="173" t="s">
        <v>749</v>
      </c>
      <c r="H13" s="74">
        <v>9</v>
      </c>
      <c r="I13" s="74">
        <v>3</v>
      </c>
      <c r="J13" s="4">
        <v>0.2</v>
      </c>
      <c r="K13" s="4">
        <v>15</v>
      </c>
      <c r="L13" s="4">
        <v>0.2</v>
      </c>
      <c r="M13" s="240">
        <v>20000</v>
      </c>
      <c r="N13" s="175" t="s">
        <v>750</v>
      </c>
      <c r="O13" s="257" t="s">
        <v>374</v>
      </c>
      <c r="P13" s="134" t="s">
        <v>86</v>
      </c>
      <c r="Q13" s="74" t="s">
        <v>26</v>
      </c>
      <c r="R13" s="57">
        <v>0.2331</v>
      </c>
      <c r="S13" s="62" t="s">
        <v>27</v>
      </c>
    </row>
    <row r="14" spans="1:37">
      <c r="A14" s="7" t="s">
        <v>751</v>
      </c>
      <c r="B14" s="12" t="s">
        <v>77</v>
      </c>
      <c r="C14" s="9" t="s">
        <v>20</v>
      </c>
      <c r="D14" s="355">
        <v>44711</v>
      </c>
      <c r="E14" s="65" t="s">
        <v>752</v>
      </c>
      <c r="F14" s="208" t="str">
        <f>HYPERLINK(E14,A14)&amp;" Demo"</f>
        <v>A Mina De Ouro Plus Demo</v>
      </c>
      <c r="G14" s="100" t="s">
        <v>753</v>
      </c>
      <c r="H14" s="93">
        <v>9</v>
      </c>
      <c r="I14" s="93">
        <v>3</v>
      </c>
      <c r="J14" s="15">
        <v>0.2</v>
      </c>
      <c r="K14" s="11">
        <v>15</v>
      </c>
      <c r="L14" s="11">
        <v>0.2</v>
      </c>
      <c r="M14" s="143">
        <v>15000</v>
      </c>
      <c r="N14" s="86" t="s">
        <v>754</v>
      </c>
      <c r="O14" s="211" t="s">
        <v>85</v>
      </c>
      <c r="P14" s="87" t="s">
        <v>86</v>
      </c>
      <c r="Q14" s="148" t="s">
        <v>26</v>
      </c>
      <c r="R14" s="56">
        <v>0.3145</v>
      </c>
      <c r="S14" s="149" t="s">
        <v>43</v>
      </c>
    </row>
    <row r="15" spans="1:37">
      <c r="A15" s="7" t="s">
        <v>755</v>
      </c>
      <c r="B15" s="12" t="s">
        <v>77</v>
      </c>
      <c r="C15" s="315" t="s">
        <v>98</v>
      </c>
      <c r="D15" s="355">
        <v>45929</v>
      </c>
      <c r="E15" s="85" t="s">
        <v>756</v>
      </c>
      <c r="F15" s="208" t="str">
        <f>HYPERLINK(E15,A15)&amp;" Demo"</f>
        <v>A Taberna Golden Edition Demo</v>
      </c>
      <c r="G15" s="246" t="s">
        <v>757</v>
      </c>
      <c r="H15" s="10">
        <v>9</v>
      </c>
      <c r="I15" s="10">
        <v>3</v>
      </c>
      <c r="J15" s="11">
        <v>0.2</v>
      </c>
      <c r="K15" s="11">
        <v>20</v>
      </c>
      <c r="L15" s="11">
        <v>0.2</v>
      </c>
      <c r="M15" s="143">
        <v>20000</v>
      </c>
      <c r="N15" s="86" t="s">
        <v>750</v>
      </c>
      <c r="O15" s="211" t="s">
        <v>85</v>
      </c>
      <c r="P15" s="87" t="s">
        <v>388</v>
      </c>
      <c r="Q15" s="10" t="s">
        <v>26</v>
      </c>
      <c r="R15" s="56">
        <v>0.20280000000000001</v>
      </c>
      <c r="S15" s="60" t="s">
        <v>27</v>
      </c>
    </row>
    <row r="16" spans="1:37">
      <c r="A16" s="7" t="s">
        <v>758</v>
      </c>
      <c r="B16" s="12" t="s">
        <v>77</v>
      </c>
      <c r="C16" s="9" t="s">
        <v>20</v>
      </c>
      <c r="D16" s="355">
        <v>45561</v>
      </c>
      <c r="E16" s="85" t="s">
        <v>759</v>
      </c>
      <c r="F16" s="208" t="str">
        <f>HYPERLINK(E16,A16)&amp;" Demo"</f>
        <v>Africa Zero Demo</v>
      </c>
      <c r="G16" s="100" t="s">
        <v>760</v>
      </c>
      <c r="H16" s="10">
        <v>9</v>
      </c>
      <c r="I16" s="10">
        <v>3</v>
      </c>
      <c r="J16" s="11">
        <v>0.2</v>
      </c>
      <c r="K16" s="11">
        <v>15</v>
      </c>
      <c r="L16" s="11">
        <v>0.2</v>
      </c>
      <c r="M16" s="143">
        <v>15000</v>
      </c>
      <c r="N16" s="86" t="s">
        <v>754</v>
      </c>
      <c r="O16" s="211" t="s">
        <v>85</v>
      </c>
      <c r="P16" s="87" t="s">
        <v>86</v>
      </c>
      <c r="Q16" s="10" t="s">
        <v>26</v>
      </c>
      <c r="R16" s="56">
        <v>0.34</v>
      </c>
      <c r="S16" s="60" t="s">
        <v>27</v>
      </c>
    </row>
    <row r="17" spans="1:19" ht="30.75">
      <c r="A17" s="13" t="s">
        <v>761</v>
      </c>
      <c r="B17" s="12" t="s">
        <v>77</v>
      </c>
      <c r="C17" s="9" t="s">
        <v>20</v>
      </c>
      <c r="D17" s="355">
        <v>44480</v>
      </c>
      <c r="E17" s="65" t="s">
        <v>762</v>
      </c>
      <c r="F17" s="208" t="str">
        <f>HYPERLINK(E17,A17)&amp;" Demo"</f>
        <v>Ana Catharina Cleópatra Demo</v>
      </c>
      <c r="G17" s="100" t="s">
        <v>763</v>
      </c>
      <c r="H17" s="93">
        <v>20</v>
      </c>
      <c r="I17" s="93">
        <v>5</v>
      </c>
      <c r="J17" s="15">
        <v>0.2</v>
      </c>
      <c r="K17" s="15">
        <v>25</v>
      </c>
      <c r="L17" s="15">
        <v>1</v>
      </c>
      <c r="M17" s="259">
        <v>14765</v>
      </c>
      <c r="N17" s="86" t="s">
        <v>764</v>
      </c>
      <c r="O17" s="211" t="s">
        <v>765</v>
      </c>
      <c r="P17" s="87" t="s">
        <v>766</v>
      </c>
      <c r="Q17" s="10" t="s">
        <v>26</v>
      </c>
      <c r="R17" s="29">
        <v>0.34920000000000001</v>
      </c>
      <c r="S17" s="61" t="s">
        <v>43</v>
      </c>
    </row>
    <row r="18" spans="1:19">
      <c r="A18" s="7" t="s">
        <v>767</v>
      </c>
      <c r="B18" s="12" t="s">
        <v>77</v>
      </c>
      <c r="C18" s="9" t="s">
        <v>20</v>
      </c>
      <c r="D18" s="354">
        <v>45082</v>
      </c>
      <c r="E18" s="65" t="s">
        <v>768</v>
      </c>
      <c r="F18" s="208" t="str">
        <f>HYPERLINK(E18,A18)&amp;" Demo"</f>
        <v>Andreia Silva Rainha Do Gelo Demo</v>
      </c>
      <c r="G18" s="100" t="s">
        <v>769</v>
      </c>
      <c r="H18" s="10">
        <v>243</v>
      </c>
      <c r="I18" s="10">
        <v>5</v>
      </c>
      <c r="J18" s="11">
        <v>0.3</v>
      </c>
      <c r="K18" s="11">
        <v>6</v>
      </c>
      <c r="L18" s="11">
        <v>0.9</v>
      </c>
      <c r="M18" s="143">
        <v>14985</v>
      </c>
      <c r="N18" s="86" t="s">
        <v>770</v>
      </c>
      <c r="O18" s="211" t="s">
        <v>436</v>
      </c>
      <c r="P18" s="87" t="s">
        <v>437</v>
      </c>
      <c r="Q18" s="10" t="s">
        <v>26</v>
      </c>
      <c r="R18" s="56">
        <v>0.32469999999999999</v>
      </c>
      <c r="S18" s="60" t="s">
        <v>27</v>
      </c>
    </row>
    <row r="19" spans="1:19">
      <c r="A19" s="7" t="s">
        <v>771</v>
      </c>
      <c r="B19" s="12" t="s">
        <v>77</v>
      </c>
      <c r="C19" s="14" t="s">
        <v>98</v>
      </c>
      <c r="D19" s="354">
        <v>45638</v>
      </c>
      <c r="E19" s="85" t="s">
        <v>772</v>
      </c>
      <c r="F19" s="208" t="str">
        <f>HYPERLINK(E19,A19)&amp;" Demo"</f>
        <v>Avalanche Selvagem Demo</v>
      </c>
      <c r="G19" s="100" t="s">
        <v>773</v>
      </c>
      <c r="H19" s="10">
        <v>10</v>
      </c>
      <c r="I19" s="10">
        <v>5</v>
      </c>
      <c r="J19" s="11">
        <v>0.1</v>
      </c>
      <c r="K19" s="11">
        <v>20</v>
      </c>
      <c r="L19" s="11">
        <v>1</v>
      </c>
      <c r="M19" s="143">
        <v>42000</v>
      </c>
      <c r="N19" s="86" t="s">
        <v>774</v>
      </c>
      <c r="O19" s="211" t="s">
        <v>61</v>
      </c>
      <c r="P19" s="87" t="s">
        <v>108</v>
      </c>
      <c r="Q19" s="10" t="s">
        <v>26</v>
      </c>
      <c r="R19" s="56">
        <v>0.11481056257175662</v>
      </c>
      <c r="S19" s="60" t="s">
        <v>43</v>
      </c>
    </row>
    <row r="20" spans="1:19">
      <c r="A20" s="7" t="s">
        <v>775</v>
      </c>
      <c r="B20" s="12" t="s">
        <v>77</v>
      </c>
      <c r="C20" s="9" t="s">
        <v>20</v>
      </c>
      <c r="D20" s="354">
        <v>44865</v>
      </c>
      <c r="E20" s="85" t="s">
        <v>776</v>
      </c>
      <c r="F20" s="208" t="str">
        <f>HYPERLINK(E20,A20)&amp;" Demo"</f>
        <v>Beatriz Moniz Estaca Prateada Demo</v>
      </c>
      <c r="G20" s="100" t="s">
        <v>777</v>
      </c>
      <c r="H20" s="10">
        <v>10</v>
      </c>
      <c r="I20" s="10">
        <v>5</v>
      </c>
      <c r="J20" s="11">
        <v>0.1</v>
      </c>
      <c r="K20" s="11">
        <v>10</v>
      </c>
      <c r="L20" s="11">
        <v>1</v>
      </c>
      <c r="M20" s="143">
        <v>55000</v>
      </c>
      <c r="N20" s="92" t="s">
        <v>778</v>
      </c>
      <c r="O20" s="211" t="s">
        <v>258</v>
      </c>
      <c r="P20" s="260" t="s">
        <v>271</v>
      </c>
      <c r="Q20" s="91" t="s">
        <v>26</v>
      </c>
      <c r="R20" s="98">
        <v>0.32469999999999999</v>
      </c>
      <c r="S20" s="60" t="s">
        <v>27</v>
      </c>
    </row>
    <row r="21" spans="1:19">
      <c r="A21" s="7" t="s">
        <v>779</v>
      </c>
      <c r="B21" s="12" t="s">
        <v>77</v>
      </c>
      <c r="C21" s="9" t="s">
        <v>20</v>
      </c>
      <c r="D21" s="354">
        <v>44984</v>
      </c>
      <c r="E21" s="85" t="s">
        <v>780</v>
      </c>
      <c r="F21" s="208" t="str">
        <f>HYPERLINK(E21,A21)&amp;" Demo"</f>
        <v>Bowling Demo</v>
      </c>
      <c r="G21" s="100" t="s">
        <v>781</v>
      </c>
      <c r="H21" s="10">
        <v>9</v>
      </c>
      <c r="I21" s="10">
        <v>3</v>
      </c>
      <c r="J21" s="11">
        <v>0.2</v>
      </c>
      <c r="K21" s="11">
        <v>15</v>
      </c>
      <c r="L21" s="11">
        <v>0.2</v>
      </c>
      <c r="M21" s="143">
        <v>15000</v>
      </c>
      <c r="N21" s="86" t="s">
        <v>754</v>
      </c>
      <c r="O21" s="211" t="s">
        <v>85</v>
      </c>
      <c r="P21" s="87" t="s">
        <v>86</v>
      </c>
      <c r="Q21" s="10" t="s">
        <v>26</v>
      </c>
      <c r="R21" s="56">
        <v>0.28310000000000002</v>
      </c>
      <c r="S21" s="60" t="s">
        <v>43</v>
      </c>
    </row>
    <row r="22" spans="1:19">
      <c r="A22" s="7" t="s">
        <v>782</v>
      </c>
      <c r="B22" s="12" t="s">
        <v>77</v>
      </c>
      <c r="C22" s="89" t="s">
        <v>98</v>
      </c>
      <c r="D22" s="355">
        <v>45712</v>
      </c>
      <c r="E22" s="85" t="s">
        <v>783</v>
      </c>
      <c r="F22" s="208" t="str">
        <f>HYPERLINK(E22,A22)&amp;" Demo"</f>
        <v>Carnaval De Lendas Míticas Demo</v>
      </c>
      <c r="G22" s="100" t="s">
        <v>784</v>
      </c>
      <c r="H22" s="10">
        <v>25</v>
      </c>
      <c r="I22" s="10">
        <v>5</v>
      </c>
      <c r="J22" s="11">
        <v>0.25</v>
      </c>
      <c r="K22" s="11">
        <v>25</v>
      </c>
      <c r="L22" s="11">
        <v>2.5</v>
      </c>
      <c r="M22" s="143">
        <v>52500</v>
      </c>
      <c r="N22" s="86" t="s">
        <v>785</v>
      </c>
      <c r="O22" s="211" t="s">
        <v>61</v>
      </c>
      <c r="P22" s="87" t="s">
        <v>157</v>
      </c>
      <c r="Q22" s="10" t="s">
        <v>26</v>
      </c>
      <c r="R22" s="56">
        <v>0.42211903756859437</v>
      </c>
      <c r="S22" s="60" t="s">
        <v>43</v>
      </c>
    </row>
    <row r="23" spans="1:19" ht="45.75">
      <c r="A23" s="13" t="s">
        <v>786</v>
      </c>
      <c r="B23" s="12" t="s">
        <v>77</v>
      </c>
      <c r="C23" s="9" t="s">
        <v>20</v>
      </c>
      <c r="D23" s="355">
        <v>44620</v>
      </c>
      <c r="E23" s="88" t="s">
        <v>787</v>
      </c>
      <c r="F23" s="208" t="str">
        <f>HYPERLINK(E23,A23)&amp;" Demo"</f>
        <v>Carolina Mendes Lucky Wave Demo</v>
      </c>
      <c r="G23" s="100" t="s">
        <v>788</v>
      </c>
      <c r="H23" s="93">
        <v>25</v>
      </c>
      <c r="I23" s="93">
        <v>5</v>
      </c>
      <c r="J23" s="15">
        <v>0.25</v>
      </c>
      <c r="K23" s="15">
        <v>25</v>
      </c>
      <c r="L23" s="15">
        <v>2.5</v>
      </c>
      <c r="M23" s="259" t="s">
        <v>789</v>
      </c>
      <c r="N23" s="86" t="s">
        <v>785</v>
      </c>
      <c r="O23" s="211" t="s">
        <v>338</v>
      </c>
      <c r="P23" s="87" t="s">
        <v>339</v>
      </c>
      <c r="Q23" s="10" t="s">
        <v>26</v>
      </c>
      <c r="R23" s="29">
        <v>0.39229999999999998</v>
      </c>
      <c r="S23" s="61" t="s">
        <v>32</v>
      </c>
    </row>
    <row r="24" spans="1:19" ht="76.5">
      <c r="A24" s="13" t="s">
        <v>790</v>
      </c>
      <c r="B24" s="12" t="s">
        <v>77</v>
      </c>
      <c r="C24" s="9" t="s">
        <v>20</v>
      </c>
      <c r="D24" s="355">
        <v>44403</v>
      </c>
      <c r="E24" s="88" t="s">
        <v>791</v>
      </c>
      <c r="F24" s="208" t="str">
        <f>HYPERLINK(E24,A24)&amp;" Demo"</f>
        <v>Chef Chakall Vikings Conquest Demo</v>
      </c>
      <c r="G24" s="100" t="s">
        <v>792</v>
      </c>
      <c r="H24" s="93">
        <v>10</v>
      </c>
      <c r="I24" s="93">
        <v>5</v>
      </c>
      <c r="J24" s="15">
        <v>0.1</v>
      </c>
      <c r="K24" s="15">
        <v>25</v>
      </c>
      <c r="L24" s="15">
        <v>1</v>
      </c>
      <c r="M24" s="259" t="s">
        <v>793</v>
      </c>
      <c r="N24" s="86" t="s">
        <v>794</v>
      </c>
      <c r="O24" s="211" t="s">
        <v>559</v>
      </c>
      <c r="P24" s="87" t="s">
        <v>560</v>
      </c>
      <c r="Q24" s="10" t="s">
        <v>26</v>
      </c>
      <c r="R24" s="29">
        <v>0.22120000000000001</v>
      </c>
      <c r="S24" s="61" t="s">
        <v>32</v>
      </c>
    </row>
    <row r="25" spans="1:19">
      <c r="A25" s="7" t="s">
        <v>197</v>
      </c>
      <c r="B25" s="12" t="s">
        <v>77</v>
      </c>
      <c r="C25" s="9" t="s">
        <v>20</v>
      </c>
      <c r="D25" s="354">
        <v>43885</v>
      </c>
      <c r="E25" s="65" t="s">
        <v>795</v>
      </c>
      <c r="F25" s="208" t="str">
        <f>HYPERLINK(E25,A25)&amp;" Demo"</f>
        <v>Csi Miami Demo</v>
      </c>
      <c r="G25" s="100" t="s">
        <v>796</v>
      </c>
      <c r="H25" s="10">
        <v>9</v>
      </c>
      <c r="I25" s="10">
        <v>3</v>
      </c>
      <c r="J25" s="11">
        <v>0.2</v>
      </c>
      <c r="K25" s="11">
        <v>15</v>
      </c>
      <c r="L25" s="11">
        <v>0.2</v>
      </c>
      <c r="M25" s="143">
        <v>15000</v>
      </c>
      <c r="N25" s="86" t="s">
        <v>754</v>
      </c>
      <c r="O25" s="211" t="s">
        <v>85</v>
      </c>
      <c r="P25" s="87" t="s">
        <v>86</v>
      </c>
      <c r="Q25" s="10" t="s">
        <v>26</v>
      </c>
      <c r="R25" s="56">
        <v>0.37590000000000001</v>
      </c>
      <c r="S25" s="60" t="s">
        <v>32</v>
      </c>
    </row>
    <row r="26" spans="1:19" ht="30.75">
      <c r="A26" s="13" t="s">
        <v>797</v>
      </c>
      <c r="B26" s="12" t="s">
        <v>77</v>
      </c>
      <c r="C26" s="89" t="s">
        <v>98</v>
      </c>
      <c r="D26" s="355">
        <v>44711</v>
      </c>
      <c r="E26" s="65" t="s">
        <v>798</v>
      </c>
      <c r="F26" s="208" t="str">
        <f>HYPERLINK(E26,A26)&amp;" Demo"</f>
        <v>Deus Dos Mares Demo</v>
      </c>
      <c r="G26" s="100" t="s">
        <v>799</v>
      </c>
      <c r="H26" s="93">
        <v>20</v>
      </c>
      <c r="I26" s="93">
        <v>5</v>
      </c>
      <c r="J26" s="15">
        <v>0.25</v>
      </c>
      <c r="K26" s="11">
        <v>25</v>
      </c>
      <c r="L26" s="11">
        <v>1</v>
      </c>
      <c r="M26" s="143">
        <v>9375</v>
      </c>
      <c r="N26" s="86" t="s">
        <v>800</v>
      </c>
      <c r="O26" s="211" t="s">
        <v>580</v>
      </c>
      <c r="P26" s="87" t="s">
        <v>801</v>
      </c>
      <c r="Q26" s="10" t="s">
        <v>26</v>
      </c>
      <c r="R26" s="56">
        <v>0.30209999999999998</v>
      </c>
      <c r="S26" s="61" t="s">
        <v>27</v>
      </c>
    </row>
    <row r="27" spans="1:19" ht="76.5">
      <c r="A27" s="13" t="s">
        <v>802</v>
      </c>
      <c r="B27" s="12" t="s">
        <v>77</v>
      </c>
      <c r="C27" s="9" t="s">
        <v>20</v>
      </c>
      <c r="D27" s="355">
        <v>44529</v>
      </c>
      <c r="E27" s="65" t="s">
        <v>803</v>
      </c>
      <c r="F27" s="208" t="str">
        <f>HYPERLINK(E27,A27)&amp;" Demo"</f>
        <v>Diego Miranda In Session Demo</v>
      </c>
      <c r="G27" s="100" t="s">
        <v>804</v>
      </c>
      <c r="H27" s="93">
        <v>243</v>
      </c>
      <c r="I27" s="93">
        <v>5</v>
      </c>
      <c r="J27" s="15">
        <v>0.25</v>
      </c>
      <c r="K27" s="15">
        <v>25</v>
      </c>
      <c r="L27" s="15">
        <v>2.5</v>
      </c>
      <c r="M27" s="259" t="s">
        <v>805</v>
      </c>
      <c r="N27" s="86" t="s">
        <v>785</v>
      </c>
      <c r="O27" s="211" t="s">
        <v>118</v>
      </c>
      <c r="P27" s="87" t="s">
        <v>119</v>
      </c>
      <c r="Q27" s="10" t="s">
        <v>26</v>
      </c>
      <c r="R27" s="29">
        <v>0.30209999999999998</v>
      </c>
      <c r="S27" s="61" t="s">
        <v>43</v>
      </c>
    </row>
    <row r="28" spans="1:19" ht="45.75">
      <c r="A28" s="7" t="s">
        <v>201</v>
      </c>
      <c r="B28" s="12" t="s">
        <v>77</v>
      </c>
      <c r="C28" s="9" t="s">
        <v>20</v>
      </c>
      <c r="D28" s="355">
        <v>44095</v>
      </c>
      <c r="E28" s="65" t="s">
        <v>806</v>
      </c>
      <c r="F28" s="208" t="str">
        <f>HYPERLINK(E28,A28)&amp;" Demo"</f>
        <v>Dream 3 Team Demo</v>
      </c>
      <c r="G28" s="100" t="s">
        <v>807</v>
      </c>
      <c r="H28" s="93">
        <v>20</v>
      </c>
      <c r="I28" s="93">
        <v>5</v>
      </c>
      <c r="J28" s="11">
        <v>0.2</v>
      </c>
      <c r="K28" s="15">
        <v>25</v>
      </c>
      <c r="L28" s="15">
        <v>1</v>
      </c>
      <c r="M28" s="259" t="s">
        <v>808</v>
      </c>
      <c r="N28" s="86" t="s">
        <v>809</v>
      </c>
      <c r="O28" s="211" t="s">
        <v>204</v>
      </c>
      <c r="P28" s="87" t="s">
        <v>205</v>
      </c>
      <c r="Q28" s="10" t="s">
        <v>26</v>
      </c>
      <c r="R28" s="29">
        <v>0.31319999999999998</v>
      </c>
      <c r="S28" s="61" t="s">
        <v>43</v>
      </c>
    </row>
    <row r="29" spans="1:19">
      <c r="A29" s="7" t="s">
        <v>810</v>
      </c>
      <c r="B29" s="12" t="s">
        <v>77</v>
      </c>
      <c r="C29" s="9" t="s">
        <v>20</v>
      </c>
      <c r="D29" s="354">
        <v>45103</v>
      </c>
      <c r="E29" s="65" t="s">
        <v>811</v>
      </c>
      <c r="F29" s="208" t="str">
        <f>HYPERLINK(E29,A29)&amp;" Demo"</f>
        <v>Elisabete Moutinho Capitã Nemo Demo</v>
      </c>
      <c r="G29" s="100" t="s">
        <v>812</v>
      </c>
      <c r="H29" s="10">
        <v>10</v>
      </c>
      <c r="I29" s="10">
        <v>5</v>
      </c>
      <c r="J29" s="15">
        <v>0.1</v>
      </c>
      <c r="K29" s="15">
        <v>25</v>
      </c>
      <c r="L29" s="15">
        <v>1</v>
      </c>
      <c r="M29" s="259">
        <v>37750</v>
      </c>
      <c r="N29" s="86" t="s">
        <v>794</v>
      </c>
      <c r="O29" s="211" t="s">
        <v>306</v>
      </c>
      <c r="P29" s="87" t="s">
        <v>307</v>
      </c>
      <c r="Q29" s="10" t="s">
        <v>26</v>
      </c>
      <c r="R29" s="56">
        <v>0.32469999999999999</v>
      </c>
      <c r="S29" s="60" t="s">
        <v>27</v>
      </c>
    </row>
    <row r="30" spans="1:19">
      <c r="A30" s="381" t="s">
        <v>813</v>
      </c>
      <c r="B30" s="326" t="s">
        <v>77</v>
      </c>
      <c r="C30" s="329" t="s">
        <v>98</v>
      </c>
      <c r="D30" s="406">
        <v>46202</v>
      </c>
      <c r="E30" s="363" t="s">
        <v>814</v>
      </c>
      <c r="F30" s="349" t="s">
        <v>813</v>
      </c>
      <c r="G30" s="334" t="s">
        <v>815</v>
      </c>
      <c r="H30" s="334">
        <v>10</v>
      </c>
      <c r="I30" s="334">
        <v>5</v>
      </c>
      <c r="J30" s="364">
        <v>0.1</v>
      </c>
      <c r="K30" s="364">
        <v>20</v>
      </c>
      <c r="L30" s="364">
        <v>1</v>
      </c>
      <c r="M30" s="364">
        <v>42000</v>
      </c>
      <c r="N30" s="334" t="s">
        <v>107</v>
      </c>
      <c r="O30" s="334" t="s">
        <v>247</v>
      </c>
      <c r="P30" s="334" t="s">
        <v>816</v>
      </c>
      <c r="Q30" s="334" t="s">
        <v>26</v>
      </c>
      <c r="R30" s="334" t="s">
        <v>369</v>
      </c>
      <c r="S30" s="339" t="s">
        <v>43</v>
      </c>
    </row>
    <row r="31" spans="1:19">
      <c r="A31" s="7" t="s">
        <v>817</v>
      </c>
      <c r="B31" s="12" t="s">
        <v>77</v>
      </c>
      <c r="C31" s="9" t="s">
        <v>20</v>
      </c>
      <c r="D31" s="354">
        <v>44340</v>
      </c>
      <c r="E31" s="65" t="s">
        <v>818</v>
      </c>
      <c r="F31" s="208" t="str">
        <f>HYPERLINK(E31,A31)&amp;" Demo"</f>
        <v>Fanny Rodrigues Golden Throne Demo</v>
      </c>
      <c r="G31" s="100" t="s">
        <v>819</v>
      </c>
      <c r="H31" s="10">
        <v>243</v>
      </c>
      <c r="I31" s="10">
        <v>5</v>
      </c>
      <c r="J31" s="11">
        <v>0.3</v>
      </c>
      <c r="K31" s="11">
        <v>6</v>
      </c>
      <c r="L31" s="11">
        <v>0.2</v>
      </c>
      <c r="M31" s="143">
        <v>38100</v>
      </c>
      <c r="N31" s="86" t="s">
        <v>770</v>
      </c>
      <c r="O31" s="211" t="s">
        <v>80</v>
      </c>
      <c r="P31" s="87" t="s">
        <v>81</v>
      </c>
      <c r="Q31" s="10" t="s">
        <v>26</v>
      </c>
      <c r="R31" s="56">
        <v>0.317</v>
      </c>
      <c r="S31" s="60" t="s">
        <v>27</v>
      </c>
    </row>
    <row r="32" spans="1:19">
      <c r="A32" s="381" t="s">
        <v>820</v>
      </c>
      <c r="B32" s="326" t="s">
        <v>77</v>
      </c>
      <c r="C32" s="329" t="s">
        <v>98</v>
      </c>
      <c r="D32" s="406">
        <v>46146</v>
      </c>
      <c r="E32" s="363" t="s">
        <v>821</v>
      </c>
      <c r="F32" s="349" t="s">
        <v>820</v>
      </c>
      <c r="G32" s="334" t="s">
        <v>815</v>
      </c>
      <c r="H32" s="334">
        <v>25</v>
      </c>
      <c r="I32" s="334">
        <v>5</v>
      </c>
      <c r="J32" s="364">
        <v>0.25</v>
      </c>
      <c r="K32" s="364">
        <v>25</v>
      </c>
      <c r="L32" s="364">
        <v>1</v>
      </c>
      <c r="M32" s="364">
        <v>26000</v>
      </c>
      <c r="N32" s="334" t="s">
        <v>822</v>
      </c>
      <c r="O32" s="334" t="s">
        <v>210</v>
      </c>
      <c r="P32" s="334" t="s">
        <v>211</v>
      </c>
      <c r="Q32" s="334" t="s">
        <v>26</v>
      </c>
      <c r="R32" s="334" t="s">
        <v>212</v>
      </c>
      <c r="S32" s="339" t="s">
        <v>32</v>
      </c>
    </row>
    <row r="33" spans="1:30">
      <c r="A33" s="13" t="s">
        <v>298</v>
      </c>
      <c r="B33" s="12" t="s">
        <v>77</v>
      </c>
      <c r="C33" s="9" t="s">
        <v>20</v>
      </c>
      <c r="D33" s="355">
        <v>44536</v>
      </c>
      <c r="E33" s="65" t="s">
        <v>823</v>
      </c>
      <c r="F33" s="208" t="str">
        <f>HYPERLINK(E33,A33)&amp;" Demo"</f>
        <v>Fonsi Nieto Deluxe Racing Life Demo</v>
      </c>
      <c r="G33" s="100" t="s">
        <v>824</v>
      </c>
      <c r="H33" s="93">
        <v>10</v>
      </c>
      <c r="I33" s="93">
        <v>5</v>
      </c>
      <c r="J33" s="15">
        <v>0.1</v>
      </c>
      <c r="K33" s="15">
        <v>10</v>
      </c>
      <c r="L33" s="15">
        <v>1</v>
      </c>
      <c r="M33" s="259">
        <v>55000</v>
      </c>
      <c r="N33" s="86" t="s">
        <v>778</v>
      </c>
      <c r="O33" s="211" t="s">
        <v>258</v>
      </c>
      <c r="P33" s="87" t="s">
        <v>300</v>
      </c>
      <c r="Q33" s="10" t="s">
        <v>26</v>
      </c>
      <c r="R33" s="29">
        <v>0.32469999999999999</v>
      </c>
      <c r="S33" s="61" t="s">
        <v>27</v>
      </c>
    </row>
    <row r="34" spans="1:30">
      <c r="A34" s="7" t="s">
        <v>825</v>
      </c>
      <c r="B34" s="12" t="s">
        <v>77</v>
      </c>
      <c r="C34" s="14" t="s">
        <v>98</v>
      </c>
      <c r="D34" s="354">
        <v>45532</v>
      </c>
      <c r="E34" s="65" t="s">
        <v>826</v>
      </c>
      <c r="F34" s="208" t="str">
        <f>HYPERLINK(E34,A34)&amp;" Demo"</f>
        <v>Fortuna Do Petróleo Demo</v>
      </c>
      <c r="G34" s="100" t="s">
        <v>827</v>
      </c>
      <c r="H34" s="10">
        <v>10</v>
      </c>
      <c r="I34" s="10">
        <v>5</v>
      </c>
      <c r="J34" s="11">
        <v>0.1</v>
      </c>
      <c r="K34" s="11">
        <v>25</v>
      </c>
      <c r="L34" s="11">
        <v>1</v>
      </c>
      <c r="M34" s="143">
        <v>52500</v>
      </c>
      <c r="N34" s="86" t="s">
        <v>794</v>
      </c>
      <c r="O34" s="211" t="s">
        <v>61</v>
      </c>
      <c r="P34" s="87" t="s">
        <v>828</v>
      </c>
      <c r="Q34" s="10" t="s">
        <v>26</v>
      </c>
      <c r="R34" s="56">
        <v>0.13</v>
      </c>
      <c r="S34" s="60" t="s">
        <v>43</v>
      </c>
    </row>
    <row r="35" spans="1:30">
      <c r="A35" s="7" t="s">
        <v>308</v>
      </c>
      <c r="B35" s="12" t="s">
        <v>77</v>
      </c>
      <c r="C35" s="9" t="s">
        <v>20</v>
      </c>
      <c r="D35" s="355">
        <v>45441</v>
      </c>
      <c r="E35" s="85" t="s">
        <v>829</v>
      </c>
      <c r="F35" s="208" t="str">
        <f>HYPERLINK(E35,A35)&amp;" Demo"</f>
        <v>Giro Estelar Demo</v>
      </c>
      <c r="G35" s="100" t="s">
        <v>830</v>
      </c>
      <c r="H35" s="10">
        <v>25</v>
      </c>
      <c r="I35" s="10">
        <v>5</v>
      </c>
      <c r="J35" s="11">
        <v>0.25</v>
      </c>
      <c r="K35" s="11">
        <v>25</v>
      </c>
      <c r="L35" s="11">
        <v>2.5</v>
      </c>
      <c r="M35" s="143">
        <v>28500</v>
      </c>
      <c r="N35" s="86" t="s">
        <v>785</v>
      </c>
      <c r="O35" s="211" t="s">
        <v>310</v>
      </c>
      <c r="P35" s="87" t="s">
        <v>311</v>
      </c>
      <c r="Q35" s="10" t="s">
        <v>26</v>
      </c>
      <c r="R35" s="56">
        <v>0.51</v>
      </c>
      <c r="S35" s="60" t="s">
        <v>43</v>
      </c>
    </row>
    <row r="36" spans="1:30">
      <c r="A36" s="13" t="s">
        <v>312</v>
      </c>
      <c r="B36" s="12" t="s">
        <v>77</v>
      </c>
      <c r="C36" s="9" t="s">
        <v>20</v>
      </c>
      <c r="D36" s="354">
        <v>44711</v>
      </c>
      <c r="E36" s="65" t="s">
        <v>831</v>
      </c>
      <c r="F36" s="208" t="str">
        <f>HYPERLINK(E36,A36)&amp;" Demo"</f>
        <v>Gnomos Mix Demo</v>
      </c>
      <c r="G36" s="100" t="s">
        <v>832</v>
      </c>
      <c r="H36" s="10">
        <v>9</v>
      </c>
      <c r="I36" s="10">
        <v>3</v>
      </c>
      <c r="J36" s="11">
        <v>0.2</v>
      </c>
      <c r="K36" s="11">
        <v>15</v>
      </c>
      <c r="L36" s="11">
        <v>0.2</v>
      </c>
      <c r="M36" s="143">
        <v>15000</v>
      </c>
      <c r="N36" s="86" t="s">
        <v>750</v>
      </c>
      <c r="O36" s="211" t="s">
        <v>85</v>
      </c>
      <c r="P36" s="87" t="s">
        <v>86</v>
      </c>
      <c r="Q36" s="10" t="s">
        <v>26</v>
      </c>
      <c r="R36" s="56">
        <v>0.31380000000000002</v>
      </c>
      <c r="S36" s="60" t="s">
        <v>43</v>
      </c>
    </row>
    <row r="37" spans="1:30">
      <c r="A37" s="7" t="s">
        <v>315</v>
      </c>
      <c r="B37" s="12" t="s">
        <v>77</v>
      </c>
      <c r="C37" s="9" t="s">
        <v>20</v>
      </c>
      <c r="D37" s="354">
        <v>45624</v>
      </c>
      <c r="E37" s="85" t="s">
        <v>833</v>
      </c>
      <c r="F37" s="208" t="str">
        <f>HYPERLINK(E37,A37)&amp;" Demo"</f>
        <v>Gnomos Mix Golden Edition Demo</v>
      </c>
      <c r="G37" s="100" t="s">
        <v>834</v>
      </c>
      <c r="H37" s="10">
        <v>9</v>
      </c>
      <c r="I37" s="10">
        <v>3</v>
      </c>
      <c r="J37" s="11">
        <v>0.2</v>
      </c>
      <c r="K37" s="11">
        <v>15</v>
      </c>
      <c r="L37" s="11">
        <v>0.2</v>
      </c>
      <c r="M37" s="143">
        <v>15000</v>
      </c>
      <c r="N37" s="86" t="s">
        <v>754</v>
      </c>
      <c r="O37" s="211" t="s">
        <v>85</v>
      </c>
      <c r="P37" s="87" t="s">
        <v>86</v>
      </c>
      <c r="Q37" s="10" t="s">
        <v>26</v>
      </c>
      <c r="R37" s="56">
        <v>0.39889999999999998</v>
      </c>
      <c r="S37" s="60" t="s">
        <v>27</v>
      </c>
    </row>
    <row r="38" spans="1:30">
      <c r="A38" s="381" t="s">
        <v>835</v>
      </c>
      <c r="B38" s="326" t="s">
        <v>77</v>
      </c>
      <c r="C38" s="329" t="s">
        <v>98</v>
      </c>
      <c r="D38" s="406">
        <v>46141</v>
      </c>
      <c r="E38" s="363" t="s">
        <v>836</v>
      </c>
      <c r="F38" s="349" t="s">
        <v>835</v>
      </c>
      <c r="G38" s="334" t="s">
        <v>815</v>
      </c>
      <c r="H38" s="334">
        <v>25</v>
      </c>
      <c r="I38" s="334">
        <v>5</v>
      </c>
      <c r="J38" s="439">
        <v>0.25</v>
      </c>
      <c r="K38" s="439">
        <v>50</v>
      </c>
      <c r="L38" s="439">
        <v>1</v>
      </c>
      <c r="M38" s="439">
        <v>52000</v>
      </c>
      <c r="N38" s="350" t="s">
        <v>209</v>
      </c>
      <c r="O38" s="334" t="s">
        <v>210</v>
      </c>
      <c r="P38" s="334" t="s">
        <v>211</v>
      </c>
      <c r="Q38" s="334" t="s">
        <v>26</v>
      </c>
      <c r="R38" s="334" t="s">
        <v>212</v>
      </c>
      <c r="S38" s="339" t="s">
        <v>43</v>
      </c>
    </row>
    <row r="39" spans="1:30" ht="45.75">
      <c r="A39" s="7" t="s">
        <v>837</v>
      </c>
      <c r="B39" s="12" t="s">
        <v>77</v>
      </c>
      <c r="C39" s="9" t="s">
        <v>20</v>
      </c>
      <c r="D39" s="354">
        <v>45243</v>
      </c>
      <c r="E39" s="65" t="s">
        <v>838</v>
      </c>
      <c r="F39" s="208" t="str">
        <f>HYPERLINK(E39,A39)&amp;" Demo"</f>
        <v>Jessica Weaver Rainha Dos Mares Demo</v>
      </c>
      <c r="G39" s="100" t="s">
        <v>839</v>
      </c>
      <c r="H39" s="10">
        <v>25</v>
      </c>
      <c r="I39" s="10">
        <v>5</v>
      </c>
      <c r="J39" s="11">
        <v>0.25</v>
      </c>
      <c r="K39" s="11">
        <v>25</v>
      </c>
      <c r="L39" s="11">
        <v>2.5</v>
      </c>
      <c r="M39" s="143" t="s">
        <v>789</v>
      </c>
      <c r="N39" s="86" t="s">
        <v>785</v>
      </c>
      <c r="O39" s="211" t="s">
        <v>338</v>
      </c>
      <c r="P39" s="87" t="s">
        <v>339</v>
      </c>
      <c r="Q39" s="10" t="s">
        <v>26</v>
      </c>
      <c r="R39" s="56">
        <v>0.4032</v>
      </c>
      <c r="S39" s="60" t="s">
        <v>32</v>
      </c>
    </row>
    <row r="40" spans="1:30" ht="45.75">
      <c r="A40" s="7" t="s">
        <v>840</v>
      </c>
      <c r="B40" s="12" t="s">
        <v>77</v>
      </c>
      <c r="C40" s="9" t="s">
        <v>20</v>
      </c>
      <c r="D40" s="354">
        <v>44907</v>
      </c>
      <c r="E40" s="65" t="s">
        <v>841</v>
      </c>
      <c r="F40" s="208" t="str">
        <f>HYPERLINK(E40,A40)&amp;" Demo"</f>
        <v>Joana Alburquerque O Planeta Das Gemas Demo</v>
      </c>
      <c r="G40" s="100" t="s">
        <v>842</v>
      </c>
      <c r="H40" s="10">
        <v>20</v>
      </c>
      <c r="I40" s="10">
        <v>5</v>
      </c>
      <c r="J40" s="11">
        <v>0.2</v>
      </c>
      <c r="K40" s="11">
        <v>25</v>
      </c>
      <c r="L40" s="11">
        <v>1</v>
      </c>
      <c r="M40" s="143" t="s">
        <v>843</v>
      </c>
      <c r="N40" s="92" t="s">
        <v>809</v>
      </c>
      <c r="O40" s="211" t="s">
        <v>532</v>
      </c>
      <c r="P40" s="260" t="s">
        <v>205</v>
      </c>
      <c r="Q40" s="91" t="s">
        <v>26</v>
      </c>
      <c r="R40" s="56">
        <v>0.30299999999999999</v>
      </c>
      <c r="S40" s="60" t="s">
        <v>43</v>
      </c>
    </row>
    <row r="41" spans="1:30" ht="45.75">
      <c r="A41" s="7" t="s">
        <v>844</v>
      </c>
      <c r="B41" s="12" t="s">
        <v>77</v>
      </c>
      <c r="C41" s="9" t="s">
        <v>20</v>
      </c>
      <c r="D41" s="354">
        <v>44893</v>
      </c>
      <c r="E41" s="65" t="s">
        <v>845</v>
      </c>
      <c r="F41" s="208" t="str">
        <f>HYPERLINK(E41,A41)&amp;" Demo"</f>
        <v>Joana Araujo Capita Da Sorte Demo</v>
      </c>
      <c r="G41" s="100" t="s">
        <v>846</v>
      </c>
      <c r="H41" s="10">
        <v>25</v>
      </c>
      <c r="I41" s="10">
        <v>5</v>
      </c>
      <c r="J41" s="11">
        <v>0.25</v>
      </c>
      <c r="K41" s="11">
        <v>25</v>
      </c>
      <c r="L41" s="11">
        <v>1</v>
      </c>
      <c r="M41" s="143">
        <v>52500</v>
      </c>
      <c r="N41" s="92" t="s">
        <v>847</v>
      </c>
      <c r="O41" s="211" t="s">
        <v>61</v>
      </c>
      <c r="P41" s="260" t="s">
        <v>848</v>
      </c>
      <c r="Q41" s="91" t="s">
        <v>26</v>
      </c>
      <c r="R41" s="56">
        <v>0.31790000000000002</v>
      </c>
      <c r="S41" s="60" t="s">
        <v>43</v>
      </c>
    </row>
    <row r="42" spans="1:30">
      <c r="A42" s="7" t="s">
        <v>426</v>
      </c>
      <c r="B42" s="12" t="s">
        <v>77</v>
      </c>
      <c r="C42" s="9" t="s">
        <v>20</v>
      </c>
      <c r="D42" s="355">
        <v>45470</v>
      </c>
      <c r="E42" s="85" t="s">
        <v>849</v>
      </c>
      <c r="F42" s="208" t="str">
        <f>HYPERLINK(E42,A42)&amp;" Demo"</f>
        <v>Lucky Player Mga Demo</v>
      </c>
      <c r="G42" s="100" t="s">
        <v>850</v>
      </c>
      <c r="H42" s="10">
        <v>9</v>
      </c>
      <c r="I42" s="10">
        <v>3</v>
      </c>
      <c r="J42" s="11">
        <v>0.2</v>
      </c>
      <c r="K42" s="11">
        <v>15</v>
      </c>
      <c r="L42" s="11">
        <v>0.2</v>
      </c>
      <c r="M42" s="143">
        <v>20000</v>
      </c>
      <c r="N42" s="86" t="s">
        <v>750</v>
      </c>
      <c r="O42" s="211" t="s">
        <v>374</v>
      </c>
      <c r="P42" s="87" t="s">
        <v>86</v>
      </c>
      <c r="Q42" s="10" t="s">
        <v>26</v>
      </c>
      <c r="R42" s="56">
        <v>0.58599999999999997</v>
      </c>
      <c r="S42" s="60" t="s">
        <v>43</v>
      </c>
    </row>
    <row r="43" spans="1:30" ht="30.75">
      <c r="A43" s="7" t="s">
        <v>851</v>
      </c>
      <c r="B43" s="12" t="s">
        <v>77</v>
      </c>
      <c r="C43" s="89" t="s">
        <v>98</v>
      </c>
      <c r="D43" s="355">
        <v>45894</v>
      </c>
      <c r="E43" s="85" t="s">
        <v>852</v>
      </c>
      <c r="F43" s="208" t="str">
        <f>HYPERLINK(E43,A43)&amp;" Demo"</f>
        <v>Macacos Pote Duplo Demo</v>
      </c>
      <c r="G43" s="100" t="s">
        <v>853</v>
      </c>
      <c r="H43" s="10">
        <v>20</v>
      </c>
      <c r="I43" s="10">
        <v>5</v>
      </c>
      <c r="J43" s="11">
        <v>0.2</v>
      </c>
      <c r="K43" s="11">
        <v>20</v>
      </c>
      <c r="L43" s="11">
        <v>1</v>
      </c>
      <c r="M43" s="143">
        <v>42000</v>
      </c>
      <c r="N43" s="86" t="s">
        <v>854</v>
      </c>
      <c r="O43" s="211" t="s">
        <v>61</v>
      </c>
      <c r="P43" s="87" t="s">
        <v>414</v>
      </c>
      <c r="Q43" s="10" t="s">
        <v>26</v>
      </c>
      <c r="R43" s="56">
        <v>0.3155</v>
      </c>
      <c r="S43" s="60" t="s">
        <v>27</v>
      </c>
    </row>
    <row r="44" spans="1:30" ht="45.75">
      <c r="A44" s="7" t="s">
        <v>855</v>
      </c>
      <c r="B44" s="12" t="s">
        <v>77</v>
      </c>
      <c r="C44" s="14" t="s">
        <v>20</v>
      </c>
      <c r="D44" s="354">
        <v>44970</v>
      </c>
      <c r="E44" s="65" t="s">
        <v>856</v>
      </c>
      <c r="F44" s="208" t="str">
        <f>HYPERLINK(E44,A44)&amp;" Demo"</f>
        <v>Maria Nunes Misterio No Circo Demo</v>
      </c>
      <c r="G44" s="246" t="s">
        <v>857</v>
      </c>
      <c r="H44" s="10">
        <v>25</v>
      </c>
      <c r="I44" s="10">
        <v>5</v>
      </c>
      <c r="J44" s="11">
        <v>0.25</v>
      </c>
      <c r="K44" s="11">
        <v>25</v>
      </c>
      <c r="L44" s="11">
        <v>2.5</v>
      </c>
      <c r="M44" s="143" t="s">
        <v>789</v>
      </c>
      <c r="N44" s="86" t="s">
        <v>785</v>
      </c>
      <c r="O44" s="211" t="s">
        <v>338</v>
      </c>
      <c r="P44" s="87" t="s">
        <v>339</v>
      </c>
      <c r="Q44" s="10" t="s">
        <v>26</v>
      </c>
      <c r="R44" s="56">
        <v>0.4032</v>
      </c>
      <c r="S44" s="60" t="s">
        <v>32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30.75">
      <c r="A45" s="7" t="s">
        <v>858</v>
      </c>
      <c r="B45" s="12" t="s">
        <v>77</v>
      </c>
      <c r="C45" s="89" t="s">
        <v>98</v>
      </c>
      <c r="D45" s="355">
        <v>45803</v>
      </c>
      <c r="E45" s="85" t="s">
        <v>859</v>
      </c>
      <c r="F45" s="208" t="str">
        <f>HYPERLINK(E45,A45)&amp;" Demo"</f>
        <v>Minerais Magicos Demo</v>
      </c>
      <c r="G45" s="100" t="s">
        <v>860</v>
      </c>
      <c r="H45" s="10">
        <v>10</v>
      </c>
      <c r="I45" s="10">
        <v>5</v>
      </c>
      <c r="J45" s="11">
        <v>0.1</v>
      </c>
      <c r="K45" s="11">
        <v>20</v>
      </c>
      <c r="L45" s="11">
        <v>1</v>
      </c>
      <c r="M45" s="143">
        <v>42000</v>
      </c>
      <c r="N45" s="86" t="s">
        <v>774</v>
      </c>
      <c r="O45" s="211" t="s">
        <v>61</v>
      </c>
      <c r="P45" s="87" t="s">
        <v>861</v>
      </c>
      <c r="Q45" s="87" t="s">
        <v>26</v>
      </c>
      <c r="R45" s="56">
        <v>0.15939999999999999</v>
      </c>
      <c r="S45" s="60" t="s">
        <v>43</v>
      </c>
    </row>
    <row r="46" spans="1:30">
      <c r="A46" s="7" t="s">
        <v>862</v>
      </c>
      <c r="B46" s="12" t="s">
        <v>77</v>
      </c>
      <c r="C46" s="14" t="s">
        <v>20</v>
      </c>
      <c r="D46" s="354">
        <v>45411</v>
      </c>
      <c r="E46" s="85" t="s">
        <v>863</v>
      </c>
      <c r="F46" s="208" t="str">
        <f>HYPERLINK(E46,A46)&amp;" Demo"</f>
        <v>O Bandido Explosivo Demo</v>
      </c>
      <c r="G46" s="246" t="s">
        <v>864</v>
      </c>
      <c r="H46" s="10">
        <v>10</v>
      </c>
      <c r="I46" s="10">
        <v>5</v>
      </c>
      <c r="J46" s="11">
        <v>0.1</v>
      </c>
      <c r="K46" s="11">
        <v>25</v>
      </c>
      <c r="L46" s="11">
        <v>1</v>
      </c>
      <c r="M46" s="143">
        <v>52500</v>
      </c>
      <c r="N46" s="86" t="s">
        <v>794</v>
      </c>
      <c r="O46" s="211" t="s">
        <v>61</v>
      </c>
      <c r="P46" s="87" t="s">
        <v>865</v>
      </c>
      <c r="Q46" s="10" t="s">
        <v>26</v>
      </c>
      <c r="R46" s="56">
        <v>0.13</v>
      </c>
      <c r="S46" s="60" t="s">
        <v>43</v>
      </c>
    </row>
    <row r="47" spans="1:30">
      <c r="A47" s="438" t="s">
        <v>866</v>
      </c>
      <c r="B47" s="12" t="s">
        <v>77</v>
      </c>
      <c r="C47" s="14" t="s">
        <v>20</v>
      </c>
      <c r="D47" s="412">
        <v>46050</v>
      </c>
      <c r="E47" s="413" t="s">
        <v>867</v>
      </c>
      <c r="F47" s="208" t="str">
        <f>HYPERLINK(E47,A47)&amp;" Demo"</f>
        <v>O Bandido Explosivo 2  Demo</v>
      </c>
      <c r="G47" s="414" t="s">
        <v>868</v>
      </c>
      <c r="H47" s="38">
        <v>10</v>
      </c>
      <c r="I47" s="38">
        <v>5</v>
      </c>
      <c r="J47" s="11">
        <v>0.1</v>
      </c>
      <c r="K47" s="11">
        <v>20</v>
      </c>
      <c r="L47" s="11">
        <v>1</v>
      </c>
      <c r="M47" s="143">
        <v>42000</v>
      </c>
      <c r="N47" s="211" t="s">
        <v>869</v>
      </c>
      <c r="O47" s="143" t="s">
        <v>61</v>
      </c>
      <c r="P47" s="211" t="s">
        <v>870</v>
      </c>
      <c r="Q47" s="93" t="s">
        <v>26</v>
      </c>
      <c r="R47" s="56">
        <v>0.1779</v>
      </c>
      <c r="S47" s="60" t="s">
        <v>43</v>
      </c>
    </row>
    <row r="48" spans="1:30">
      <c r="A48" s="7" t="s">
        <v>871</v>
      </c>
      <c r="B48" s="12" t="s">
        <v>77</v>
      </c>
      <c r="C48" s="315" t="s">
        <v>98</v>
      </c>
      <c r="D48" s="354">
        <v>45719</v>
      </c>
      <c r="E48" s="85" t="s">
        <v>872</v>
      </c>
      <c r="F48" s="208" t="str">
        <f>HYPERLINK(E48,A48)&amp;" Demo"</f>
        <v>O Gato Mago Demo</v>
      </c>
      <c r="G48" s="246" t="s">
        <v>873</v>
      </c>
      <c r="H48" s="10">
        <v>20</v>
      </c>
      <c r="I48" s="10">
        <v>5</v>
      </c>
      <c r="J48" s="11">
        <v>0.2</v>
      </c>
      <c r="K48" s="11">
        <v>25</v>
      </c>
      <c r="L48" s="11">
        <v>1</v>
      </c>
      <c r="M48" s="143">
        <v>62500</v>
      </c>
      <c r="N48" s="316" t="s">
        <v>809</v>
      </c>
      <c r="O48" s="211" t="s">
        <v>235</v>
      </c>
      <c r="P48" s="211" t="s">
        <v>62</v>
      </c>
      <c r="Q48" s="93" t="s">
        <v>26</v>
      </c>
      <c r="R48" s="56">
        <v>0.39529999999999998</v>
      </c>
      <c r="S48" s="60" t="s">
        <v>43</v>
      </c>
    </row>
    <row r="49" spans="1:19">
      <c r="A49" s="7" t="s">
        <v>874</v>
      </c>
      <c r="B49" s="12" t="s">
        <v>77</v>
      </c>
      <c r="C49" s="315" t="s">
        <v>98</v>
      </c>
      <c r="D49" s="354">
        <v>45985</v>
      </c>
      <c r="E49" s="85" t="s">
        <v>875</v>
      </c>
      <c r="F49" s="208" t="str">
        <f>HYPERLINK(E49,A49)&amp;" Demo"</f>
        <v>O Gato Mago Explosivo Demo</v>
      </c>
      <c r="G49" s="246" t="s">
        <v>876</v>
      </c>
      <c r="H49" s="10">
        <v>10</v>
      </c>
      <c r="I49" s="10">
        <v>5</v>
      </c>
      <c r="J49" s="11">
        <v>0.1</v>
      </c>
      <c r="K49" s="15">
        <v>25</v>
      </c>
      <c r="L49" s="15">
        <v>1</v>
      </c>
      <c r="M49" s="143">
        <v>52500</v>
      </c>
      <c r="N49" s="316" t="s">
        <v>877</v>
      </c>
      <c r="O49" s="211" t="s">
        <v>61</v>
      </c>
      <c r="P49" s="211" t="s">
        <v>865</v>
      </c>
      <c r="Q49" s="93" t="s">
        <v>26</v>
      </c>
      <c r="R49" s="56">
        <v>0.15909999999999999</v>
      </c>
      <c r="S49" s="60" t="s">
        <v>43</v>
      </c>
    </row>
    <row r="50" spans="1:19">
      <c r="A50" s="325" t="s">
        <v>878</v>
      </c>
      <c r="B50" s="326" t="s">
        <v>77</v>
      </c>
      <c r="C50" s="329" t="s">
        <v>98</v>
      </c>
      <c r="D50" s="362">
        <v>46079</v>
      </c>
      <c r="E50" s="363" t="s">
        <v>879</v>
      </c>
      <c r="F50" s="363" t="s">
        <v>880</v>
      </c>
      <c r="G50" s="344" t="s">
        <v>881</v>
      </c>
      <c r="H50" s="334">
        <v>10</v>
      </c>
      <c r="I50" s="334">
        <v>5</v>
      </c>
      <c r="J50" s="364">
        <v>0.1</v>
      </c>
      <c r="K50" s="364">
        <v>30</v>
      </c>
      <c r="L50" s="364">
        <v>1</v>
      </c>
      <c r="M50" s="334" t="s">
        <v>882</v>
      </c>
      <c r="N50" s="334" t="s">
        <v>883</v>
      </c>
      <c r="O50" s="334" t="s">
        <v>247</v>
      </c>
      <c r="P50" s="334" t="s">
        <v>884</v>
      </c>
      <c r="Q50" s="334" t="s">
        <v>26</v>
      </c>
      <c r="R50" s="334" t="s">
        <v>249</v>
      </c>
      <c r="S50" s="339" t="s">
        <v>43</v>
      </c>
    </row>
    <row r="51" spans="1:19" ht="30.75">
      <c r="A51" s="7" t="s">
        <v>885</v>
      </c>
      <c r="B51" s="12" t="s">
        <v>77</v>
      </c>
      <c r="C51" s="315" t="s">
        <v>98</v>
      </c>
      <c r="D51" s="355">
        <v>45866</v>
      </c>
      <c r="E51" s="85" t="s">
        <v>886</v>
      </c>
      <c r="F51" s="208" t="str">
        <f>HYPERLINK(E51,A51)&amp;" Demo"</f>
        <v>O Tesouro De Atena Demo</v>
      </c>
      <c r="G51" s="246" t="s">
        <v>887</v>
      </c>
      <c r="H51" s="10">
        <v>10</v>
      </c>
      <c r="I51" s="10">
        <v>5</v>
      </c>
      <c r="J51" s="11">
        <v>0.1</v>
      </c>
      <c r="K51" s="11">
        <v>20</v>
      </c>
      <c r="L51" s="11">
        <v>1</v>
      </c>
      <c r="M51" s="143">
        <v>42000</v>
      </c>
      <c r="N51" s="86" t="s">
        <v>774</v>
      </c>
      <c r="O51" s="211" t="s">
        <v>61</v>
      </c>
      <c r="P51" s="87" t="s">
        <v>888</v>
      </c>
      <c r="Q51" s="87" t="s">
        <v>26</v>
      </c>
      <c r="R51" s="56">
        <v>0.12</v>
      </c>
      <c r="S51" s="60" t="s">
        <v>43</v>
      </c>
    </row>
    <row r="52" spans="1:19">
      <c r="A52" s="7" t="s">
        <v>463</v>
      </c>
      <c r="B52" s="12" t="s">
        <v>77</v>
      </c>
      <c r="C52" s="89" t="s">
        <v>98</v>
      </c>
      <c r="D52" s="355">
        <v>45561</v>
      </c>
      <c r="E52" s="65" t="s">
        <v>889</v>
      </c>
      <c r="F52" s="208" t="str">
        <f>HYPERLINK(E52,A52)&amp;" Demo"</f>
        <v>Olimpo De Zeus Demo</v>
      </c>
      <c r="G52" s="100" t="s">
        <v>890</v>
      </c>
      <c r="H52" s="10">
        <v>25</v>
      </c>
      <c r="I52" s="10">
        <v>5</v>
      </c>
      <c r="J52" s="11">
        <v>0.25</v>
      </c>
      <c r="K52" s="11">
        <v>25</v>
      </c>
      <c r="L52" s="11">
        <v>2.5</v>
      </c>
      <c r="M52" s="143">
        <v>52500</v>
      </c>
      <c r="N52" s="86" t="s">
        <v>785</v>
      </c>
      <c r="O52" s="211" t="s">
        <v>61</v>
      </c>
      <c r="P52" s="87" t="s">
        <v>465</v>
      </c>
      <c r="Q52" s="10" t="s">
        <v>26</v>
      </c>
      <c r="R52" s="56">
        <v>0.40870000000000001</v>
      </c>
      <c r="S52" s="60" t="s">
        <v>39</v>
      </c>
    </row>
    <row r="53" spans="1:19" ht="45.75">
      <c r="A53" s="13" t="s">
        <v>891</v>
      </c>
      <c r="B53" s="12" t="s">
        <v>77</v>
      </c>
      <c r="C53" s="9" t="s">
        <v>20</v>
      </c>
      <c r="D53" s="355">
        <v>44438</v>
      </c>
      <c r="E53" s="65" t="s">
        <v>892</v>
      </c>
      <c r="F53" s="208" t="str">
        <f>HYPERLINK(E53,A53)&amp;" Demo"</f>
        <v>Paulo Futre The Last Gladiator Demo</v>
      </c>
      <c r="G53" s="100" t="s">
        <v>893</v>
      </c>
      <c r="H53" s="93">
        <v>20</v>
      </c>
      <c r="I53" s="93">
        <v>5</v>
      </c>
      <c r="J53" s="15">
        <v>0.2</v>
      </c>
      <c r="K53" s="15">
        <v>25</v>
      </c>
      <c r="L53" s="15">
        <v>1</v>
      </c>
      <c r="M53" s="143" t="s">
        <v>808</v>
      </c>
      <c r="N53" s="86" t="s">
        <v>809</v>
      </c>
      <c r="O53" s="211" t="s">
        <v>204</v>
      </c>
      <c r="P53" s="87" t="s">
        <v>205</v>
      </c>
      <c r="Q53" s="10" t="s">
        <v>26</v>
      </c>
      <c r="R53" s="29">
        <v>0.30320000000000003</v>
      </c>
      <c r="S53" s="61" t="s">
        <v>43</v>
      </c>
    </row>
    <row r="54" spans="1:19">
      <c r="A54" s="381" t="s">
        <v>894</v>
      </c>
      <c r="B54" s="326" t="s">
        <v>77</v>
      </c>
      <c r="C54" s="329" t="s">
        <v>98</v>
      </c>
      <c r="D54" s="406">
        <v>46170</v>
      </c>
      <c r="E54" s="363" t="s">
        <v>895</v>
      </c>
      <c r="F54" s="349" t="s">
        <v>894</v>
      </c>
      <c r="G54" s="334" t="s">
        <v>815</v>
      </c>
      <c r="H54" s="334">
        <v>25</v>
      </c>
      <c r="I54" s="334">
        <v>5</v>
      </c>
      <c r="J54" s="364">
        <v>0.25</v>
      </c>
      <c r="K54" s="364">
        <v>25</v>
      </c>
      <c r="L54" s="364">
        <v>1</v>
      </c>
      <c r="M54" s="364">
        <v>125000</v>
      </c>
      <c r="N54" s="334" t="s">
        <v>102</v>
      </c>
      <c r="O54" s="334" t="s">
        <v>453</v>
      </c>
      <c r="P54" s="334" t="s">
        <v>454</v>
      </c>
      <c r="Q54" s="334" t="s">
        <v>26</v>
      </c>
      <c r="R54" s="334" t="s">
        <v>455</v>
      </c>
      <c r="S54" s="339" t="s">
        <v>43</v>
      </c>
    </row>
    <row r="55" spans="1:19">
      <c r="A55" s="13" t="s">
        <v>896</v>
      </c>
      <c r="B55" s="326" t="s">
        <v>77</v>
      </c>
      <c r="C55" s="315" t="s">
        <v>98</v>
      </c>
      <c r="D55" s="355">
        <v>46006</v>
      </c>
      <c r="E55" s="85" t="s">
        <v>897</v>
      </c>
      <c r="F55" s="208" t="str">
        <f>HYPERLINK(E55,A55)&amp;" Demo"</f>
        <v>Piratas Da China Demo</v>
      </c>
      <c r="G55" s="246" t="s">
        <v>898</v>
      </c>
      <c r="H55" s="93">
        <v>20</v>
      </c>
      <c r="I55" s="93">
        <v>5</v>
      </c>
      <c r="J55" s="15">
        <v>0.2</v>
      </c>
      <c r="K55" s="15">
        <v>20</v>
      </c>
      <c r="L55" s="15">
        <v>1</v>
      </c>
      <c r="M55" s="259">
        <v>42000</v>
      </c>
      <c r="N55" s="86" t="s">
        <v>774</v>
      </c>
      <c r="O55" s="211" t="s">
        <v>61</v>
      </c>
      <c r="P55" s="211" t="s">
        <v>899</v>
      </c>
      <c r="Q55" s="10" t="s">
        <v>26</v>
      </c>
      <c r="R55" s="29">
        <v>0.24904739371902473</v>
      </c>
      <c r="S55" s="61" t="s">
        <v>43</v>
      </c>
    </row>
    <row r="56" spans="1:19">
      <c r="A56" s="381" t="s">
        <v>900</v>
      </c>
      <c r="B56" s="326" t="s">
        <v>77</v>
      </c>
      <c r="C56" s="329" t="s">
        <v>98</v>
      </c>
      <c r="D56" s="406">
        <v>46181</v>
      </c>
      <c r="E56" s="363" t="s">
        <v>901</v>
      </c>
      <c r="F56" s="349" t="s">
        <v>900</v>
      </c>
      <c r="G56" s="334" t="s">
        <v>815</v>
      </c>
      <c r="H56" s="334">
        <v>20</v>
      </c>
      <c r="I56" s="334">
        <v>5</v>
      </c>
      <c r="J56" s="364">
        <v>0.2</v>
      </c>
      <c r="K56" s="364">
        <v>75</v>
      </c>
      <c r="L56" s="364">
        <v>1</v>
      </c>
      <c r="M56" s="364">
        <v>44295</v>
      </c>
      <c r="N56" s="334" t="s">
        <v>902</v>
      </c>
      <c r="O56" s="334" t="s">
        <v>903</v>
      </c>
      <c r="P56" s="334" t="s">
        <v>904</v>
      </c>
      <c r="Q56" s="334" t="s">
        <v>26</v>
      </c>
      <c r="R56" s="334" t="s">
        <v>905</v>
      </c>
      <c r="S56" s="339" t="s">
        <v>32</v>
      </c>
    </row>
    <row r="57" spans="1:19">
      <c r="A57" s="13" t="s">
        <v>906</v>
      </c>
      <c r="B57" s="12" t="s">
        <v>77</v>
      </c>
      <c r="C57" s="9" t="s">
        <v>20</v>
      </c>
      <c r="D57" s="355">
        <v>44739</v>
      </c>
      <c r="E57" s="65" t="s">
        <v>907</v>
      </c>
      <c r="F57" s="208" t="str">
        <f>HYPERLINK(E57,A57)&amp;" Demo"</f>
        <v>Popeye Caça Tesouros Demo</v>
      </c>
      <c r="G57" s="100" t="s">
        <v>908</v>
      </c>
      <c r="H57" s="93">
        <v>9</v>
      </c>
      <c r="I57" s="93">
        <v>3</v>
      </c>
      <c r="J57" s="15">
        <v>0.2</v>
      </c>
      <c r="K57" s="11">
        <v>15</v>
      </c>
      <c r="L57" s="11">
        <v>0.2</v>
      </c>
      <c r="M57" s="143">
        <v>15000</v>
      </c>
      <c r="N57" s="86" t="s">
        <v>754</v>
      </c>
      <c r="O57" s="211" t="s">
        <v>85</v>
      </c>
      <c r="P57" s="87" t="s">
        <v>86</v>
      </c>
      <c r="Q57" s="10" t="s">
        <v>26</v>
      </c>
      <c r="R57" s="56">
        <v>0.30030000000000001</v>
      </c>
      <c r="S57" s="61" t="s">
        <v>43</v>
      </c>
    </row>
    <row r="58" spans="1:19">
      <c r="A58" s="319" t="s">
        <v>909</v>
      </c>
      <c r="B58" s="434" t="s">
        <v>77</v>
      </c>
      <c r="C58" s="435" t="s">
        <v>98</v>
      </c>
      <c r="D58" s="436">
        <v>46118</v>
      </c>
      <c r="E58" s="322" t="s">
        <v>910</v>
      </c>
      <c r="F58" s="345" t="s">
        <v>909</v>
      </c>
      <c r="G58" s="433"/>
      <c r="H58" s="437">
        <v>20</v>
      </c>
      <c r="I58" s="323">
        <v>5</v>
      </c>
      <c r="J58" s="343" t="s">
        <v>911</v>
      </c>
      <c r="K58" s="343">
        <v>25</v>
      </c>
      <c r="L58" s="343">
        <v>1</v>
      </c>
      <c r="M58" s="343">
        <v>62500</v>
      </c>
      <c r="N58" s="323" t="s">
        <v>912</v>
      </c>
      <c r="O58" s="323" t="s">
        <v>913</v>
      </c>
      <c r="P58" s="323" t="s">
        <v>914</v>
      </c>
      <c r="Q58" s="323" t="s">
        <v>26</v>
      </c>
      <c r="R58" s="323" t="s">
        <v>915</v>
      </c>
      <c r="S58" s="323" t="s">
        <v>43</v>
      </c>
    </row>
    <row r="59" spans="1:19" ht="15.75">
      <c r="A59" s="7" t="s">
        <v>916</v>
      </c>
      <c r="B59" s="12" t="s">
        <v>77</v>
      </c>
      <c r="C59" s="89" t="s">
        <v>98</v>
      </c>
      <c r="D59" s="355">
        <v>45782</v>
      </c>
      <c r="E59" s="65" t="s">
        <v>917</v>
      </c>
      <c r="F59" s="208" t="str">
        <f>HYPERLINK(E59,A59)&amp;" Demo"</f>
        <v>Riquezas Da Alquimia Demo</v>
      </c>
      <c r="G59" s="100" t="s">
        <v>918</v>
      </c>
      <c r="H59" s="10">
        <v>25</v>
      </c>
      <c r="I59" s="10">
        <v>5</v>
      </c>
      <c r="J59" s="11">
        <v>0.25</v>
      </c>
      <c r="K59" s="11">
        <v>25</v>
      </c>
      <c r="L59" s="11">
        <v>2.5</v>
      </c>
      <c r="M59" s="143">
        <v>50000</v>
      </c>
      <c r="N59" s="86" t="s">
        <v>785</v>
      </c>
      <c r="O59" s="211" t="s">
        <v>501</v>
      </c>
      <c r="P59" s="87" t="s">
        <v>502</v>
      </c>
      <c r="Q59" s="10" t="s">
        <v>26</v>
      </c>
      <c r="R59" s="56">
        <v>0.3584</v>
      </c>
      <c r="S59" s="101" t="s">
        <v>919</v>
      </c>
    </row>
    <row r="60" spans="1:19">
      <c r="A60" s="7" t="s">
        <v>511</v>
      </c>
      <c r="B60" s="12" t="s">
        <v>77</v>
      </c>
      <c r="C60" s="9" t="s">
        <v>20</v>
      </c>
      <c r="D60" s="354">
        <v>44949</v>
      </c>
      <c r="E60" s="65" t="s">
        <v>920</v>
      </c>
      <c r="F60" s="208" t="str">
        <f>HYPERLINK(E60,A60)&amp;" Demo"</f>
        <v>Roma Plus Demo</v>
      </c>
      <c r="G60" s="100" t="s">
        <v>921</v>
      </c>
      <c r="H60" s="10">
        <v>9</v>
      </c>
      <c r="I60" s="10">
        <v>3</v>
      </c>
      <c r="J60" s="11">
        <v>0.2</v>
      </c>
      <c r="K60" s="11">
        <v>15</v>
      </c>
      <c r="L60" s="11">
        <v>0.2</v>
      </c>
      <c r="M60" s="143">
        <v>15000</v>
      </c>
      <c r="N60" s="86" t="s">
        <v>754</v>
      </c>
      <c r="O60" s="211" t="s">
        <v>85</v>
      </c>
      <c r="P60" s="87" t="s">
        <v>86</v>
      </c>
      <c r="Q60" s="10" t="s">
        <v>26</v>
      </c>
      <c r="R60" s="56">
        <v>0.2702</v>
      </c>
      <c r="S60" s="60" t="s">
        <v>43</v>
      </c>
    </row>
    <row r="61" spans="1:19">
      <c r="A61" s="7" t="s">
        <v>515</v>
      </c>
      <c r="B61" s="12" t="s">
        <v>77</v>
      </c>
      <c r="C61" s="9" t="s">
        <v>20</v>
      </c>
      <c r="D61" s="354">
        <v>44032</v>
      </c>
      <c r="E61" s="65" t="s">
        <v>922</v>
      </c>
      <c r="F61" s="208" t="str">
        <f>HYPERLINK(E61,A61)&amp;" Demo"</f>
        <v>Samantha Fox Demo</v>
      </c>
      <c r="G61" s="100" t="s">
        <v>923</v>
      </c>
      <c r="H61" s="10">
        <v>25</v>
      </c>
      <c r="I61" s="10">
        <v>5</v>
      </c>
      <c r="J61" s="11">
        <v>0.25</v>
      </c>
      <c r="K61" s="11">
        <v>25</v>
      </c>
      <c r="L61" s="11">
        <v>2.5</v>
      </c>
      <c r="M61" s="143">
        <v>27000</v>
      </c>
      <c r="N61" s="86" t="s">
        <v>785</v>
      </c>
      <c r="O61" s="211" t="s">
        <v>147</v>
      </c>
      <c r="P61" s="87" t="s">
        <v>517</v>
      </c>
      <c r="Q61" s="10" t="s">
        <v>26</v>
      </c>
      <c r="R61" s="56">
        <v>0.30209999999999998</v>
      </c>
      <c r="S61" s="60" t="s">
        <v>43</v>
      </c>
    </row>
    <row r="62" spans="1:19" ht="45.75">
      <c r="A62" s="7" t="s">
        <v>520</v>
      </c>
      <c r="B62" s="12" t="s">
        <v>77</v>
      </c>
      <c r="C62" s="9" t="s">
        <v>20</v>
      </c>
      <c r="D62" s="355">
        <v>44151</v>
      </c>
      <c r="E62" s="65" t="s">
        <v>924</v>
      </c>
      <c r="F62" s="208" t="str">
        <f>HYPERLINK(E62,A62)&amp;" Demo"</f>
        <v>Sandro Rey Demo</v>
      </c>
      <c r="G62" s="100" t="s">
        <v>925</v>
      </c>
      <c r="H62" s="93">
        <v>20</v>
      </c>
      <c r="I62" s="93">
        <v>5</v>
      </c>
      <c r="J62" s="11">
        <v>0.2</v>
      </c>
      <c r="K62" s="15">
        <v>25</v>
      </c>
      <c r="L62" s="15">
        <v>1</v>
      </c>
      <c r="M62" s="259" t="s">
        <v>926</v>
      </c>
      <c r="N62" s="86" t="s">
        <v>809</v>
      </c>
      <c r="O62" s="211" t="s">
        <v>113</v>
      </c>
      <c r="P62" s="87" t="s">
        <v>114</v>
      </c>
      <c r="Q62" s="10" t="s">
        <v>26</v>
      </c>
      <c r="R62" s="29">
        <v>0.34989999999999999</v>
      </c>
      <c r="S62" s="61" t="s">
        <v>43</v>
      </c>
    </row>
    <row r="63" spans="1:19">
      <c r="A63" s="7" t="s">
        <v>523</v>
      </c>
      <c r="B63" s="12" t="s">
        <v>77</v>
      </c>
      <c r="C63" s="9" t="s">
        <v>20</v>
      </c>
      <c r="D63" s="355">
        <v>44648</v>
      </c>
      <c r="E63" s="85" t="s">
        <v>927</v>
      </c>
      <c r="F63" s="208" t="str">
        <f>HYPERLINK(E63,A63)&amp;" Demo"</f>
        <v>Santa Fe Mix Demo</v>
      </c>
      <c r="G63" s="100" t="s">
        <v>928</v>
      </c>
      <c r="H63" s="93">
        <v>9</v>
      </c>
      <c r="I63" s="93">
        <v>3</v>
      </c>
      <c r="J63" s="11">
        <v>0.2</v>
      </c>
      <c r="K63" s="15">
        <v>15</v>
      </c>
      <c r="L63" s="15">
        <v>0.2</v>
      </c>
      <c r="M63" s="259">
        <v>15000</v>
      </c>
      <c r="N63" s="86" t="s">
        <v>754</v>
      </c>
      <c r="O63" s="211" t="s">
        <v>85</v>
      </c>
      <c r="P63" s="87" t="s">
        <v>170</v>
      </c>
      <c r="Q63" s="10" t="s">
        <v>26</v>
      </c>
      <c r="R63" s="29">
        <v>0.14649999999999999</v>
      </c>
      <c r="S63" s="61" t="s">
        <v>43</v>
      </c>
    </row>
    <row r="64" spans="1:19">
      <c r="A64" s="7" t="s">
        <v>929</v>
      </c>
      <c r="B64" s="12" t="s">
        <v>77</v>
      </c>
      <c r="C64" s="9" t="s">
        <v>20</v>
      </c>
      <c r="D64" s="354">
        <v>45040</v>
      </c>
      <c r="E64" s="65" t="s">
        <v>930</v>
      </c>
      <c r="F64" s="208" t="str">
        <f>HYPERLINK(E64,A64)&amp;" Demo"</f>
        <v>Sofia Sousa Deusa Jade Demo</v>
      </c>
      <c r="G64" s="100" t="s">
        <v>931</v>
      </c>
      <c r="H64" s="10">
        <v>25</v>
      </c>
      <c r="I64" s="91">
        <v>5</v>
      </c>
      <c r="J64" s="20">
        <v>0.25</v>
      </c>
      <c r="K64" s="20">
        <v>25</v>
      </c>
      <c r="L64" s="20">
        <v>2.5</v>
      </c>
      <c r="M64" s="261">
        <v>26000</v>
      </c>
      <c r="N64" s="92" t="s">
        <v>785</v>
      </c>
      <c r="O64" s="211" t="s">
        <v>103</v>
      </c>
      <c r="P64" s="260" t="s">
        <v>104</v>
      </c>
      <c r="Q64" s="91" t="s">
        <v>26</v>
      </c>
      <c r="R64" s="98">
        <v>0.44840000000000002</v>
      </c>
      <c r="S64" s="60" t="s">
        <v>27</v>
      </c>
    </row>
    <row r="65" spans="1:19">
      <c r="A65" s="7" t="s">
        <v>932</v>
      </c>
      <c r="B65" s="12" t="s">
        <v>77</v>
      </c>
      <c r="C65" s="9" t="s">
        <v>20</v>
      </c>
      <c r="D65" s="354">
        <v>44739</v>
      </c>
      <c r="E65" s="65" t="s">
        <v>933</v>
      </c>
      <c r="F65" s="208" t="str">
        <f>HYPERLINK(E65,A65)&amp;" Demo"</f>
        <v>Teresa Guilherme Rainha Da Pérsia Demo</v>
      </c>
      <c r="G65" s="100" t="s">
        <v>934</v>
      </c>
      <c r="H65" s="10">
        <v>243</v>
      </c>
      <c r="I65" s="10">
        <v>5</v>
      </c>
      <c r="J65" s="11">
        <v>0.3</v>
      </c>
      <c r="K65" s="11">
        <v>6</v>
      </c>
      <c r="L65" s="11">
        <v>0.9</v>
      </c>
      <c r="M65" s="143">
        <v>38100</v>
      </c>
      <c r="N65" s="86" t="s">
        <v>770</v>
      </c>
      <c r="O65" s="211" t="s">
        <v>80</v>
      </c>
      <c r="P65" s="87" t="s">
        <v>81</v>
      </c>
      <c r="Q65" s="10" t="s">
        <v>26</v>
      </c>
      <c r="R65" s="56">
        <v>0.29220000000000002</v>
      </c>
      <c r="S65" s="60" t="s">
        <v>27</v>
      </c>
    </row>
    <row r="66" spans="1:19">
      <c r="A66" s="21" t="s">
        <v>546</v>
      </c>
      <c r="B66" s="168" t="s">
        <v>77</v>
      </c>
      <c r="C66" s="22" t="s">
        <v>20</v>
      </c>
      <c r="D66" s="356">
        <v>44865</v>
      </c>
      <c r="E66" s="83" t="s">
        <v>935</v>
      </c>
      <c r="F66" s="217" t="str">
        <f>HYPERLINK(E66,A66)&amp;" Demo"</f>
        <v>Vikingos Gold Plus Demo</v>
      </c>
      <c r="G66" s="103" t="s">
        <v>936</v>
      </c>
      <c r="H66" s="23">
        <v>9</v>
      </c>
      <c r="I66" s="23">
        <v>3</v>
      </c>
      <c r="J66" s="24">
        <v>0.2</v>
      </c>
      <c r="K66" s="24">
        <v>15</v>
      </c>
      <c r="L66" s="24">
        <v>0.2</v>
      </c>
      <c r="M66" s="242">
        <v>15000</v>
      </c>
      <c r="N66" s="177" t="s">
        <v>754</v>
      </c>
      <c r="O66" s="365" t="s">
        <v>85</v>
      </c>
      <c r="P66" s="247" t="s">
        <v>86</v>
      </c>
      <c r="Q66" s="23" t="s">
        <v>26</v>
      </c>
      <c r="R66" s="58">
        <v>0.28889999999999999</v>
      </c>
      <c r="S66" s="63" t="s">
        <v>43</v>
      </c>
    </row>
    <row r="67" spans="1:19">
      <c r="A67" s="196" t="s">
        <v>639</v>
      </c>
      <c r="B67" s="197" t="s">
        <v>569</v>
      </c>
      <c r="C67" s="198" t="s">
        <v>98</v>
      </c>
      <c r="D67" s="357">
        <v>45561</v>
      </c>
      <c r="E67" s="199" t="s">
        <v>937</v>
      </c>
      <c r="F67" s="182" t="str">
        <f t="shared" ref="F35:F68" si="1">HYPERLINK(E67,A67)&amp;" Demo"</f>
        <v>Golden Lucky Cat Bingo Demo</v>
      </c>
      <c r="G67" s="200" t="s">
        <v>938</v>
      </c>
      <c r="H67" s="201" t="s">
        <v>571</v>
      </c>
      <c r="I67" s="201" t="s">
        <v>571</v>
      </c>
      <c r="J67" s="202">
        <v>0.08</v>
      </c>
      <c r="K67" s="202">
        <v>30</v>
      </c>
      <c r="L67" s="203">
        <v>0.2</v>
      </c>
      <c r="M67" s="262">
        <v>18750</v>
      </c>
      <c r="N67" s="205" t="s">
        <v>939</v>
      </c>
      <c r="O67" s="263" t="s">
        <v>573</v>
      </c>
      <c r="P67" s="264" t="s">
        <v>641</v>
      </c>
      <c r="Q67" s="204" t="s">
        <v>26</v>
      </c>
      <c r="R67" s="206">
        <v>0.12909999999999999</v>
      </c>
      <c r="S67" s="207" t="s">
        <v>43</v>
      </c>
    </row>
    <row r="68" spans="1:19">
      <c r="A68" s="184" t="s">
        <v>940</v>
      </c>
      <c r="B68" s="185" t="s">
        <v>686</v>
      </c>
      <c r="C68" s="186" t="s">
        <v>98</v>
      </c>
      <c r="D68" s="358">
        <v>45236</v>
      </c>
      <c r="E68" s="187" t="s">
        <v>941</v>
      </c>
      <c r="F68" s="188" t="str">
        <f t="shared" si="1"/>
        <v>Roulette Grand Croupier Demo</v>
      </c>
      <c r="G68" s="189" t="s">
        <v>942</v>
      </c>
      <c r="H68" s="190" t="s">
        <v>571</v>
      </c>
      <c r="I68" s="190" t="s">
        <v>571</v>
      </c>
      <c r="J68" s="191">
        <v>0.1</v>
      </c>
      <c r="K68" s="191">
        <v>2000</v>
      </c>
      <c r="L68" s="191">
        <v>0.1</v>
      </c>
      <c r="M68" s="265">
        <v>28800</v>
      </c>
      <c r="N68" s="193" t="s">
        <v>943</v>
      </c>
      <c r="O68" s="266" t="s">
        <v>694</v>
      </c>
      <c r="P68" s="267" t="s">
        <v>691</v>
      </c>
      <c r="Q68" s="192" t="s">
        <v>26</v>
      </c>
      <c r="R68" s="194" t="s">
        <v>919</v>
      </c>
      <c r="S68" s="195" t="s">
        <v>43</v>
      </c>
    </row>
    <row r="69" spans="1:19">
      <c r="A69" s="5"/>
      <c r="B69" s="5"/>
      <c r="C69" s="5"/>
      <c r="D69" s="359"/>
      <c r="E69" s="5"/>
      <c r="F69" s="94"/>
      <c r="G69" s="1"/>
      <c r="H69" s="5"/>
      <c r="I69" s="5"/>
      <c r="J69" s="95"/>
      <c r="K69" s="95"/>
      <c r="L69" s="95"/>
      <c r="M69" s="268"/>
      <c r="N69" s="64"/>
      <c r="O69" s="233"/>
      <c r="P69" s="64"/>
      <c r="Q69" s="34"/>
      <c r="R69" s="84"/>
      <c r="S69" s="34"/>
    </row>
  </sheetData>
  <sortState xmlns:xlrd2="http://schemas.microsoft.com/office/spreadsheetml/2017/richdata2" ref="A14:S66">
    <sortCondition ref="A14:A66"/>
  </sortState>
  <conditionalFormatting sqref="E14">
    <cfRule type="expression" dxfId="23" priority="22">
      <formula>RIGHT(E14, 3) = "_PT"</formula>
    </cfRule>
  </conditionalFormatting>
  <conditionalFormatting sqref="E17:E18">
    <cfRule type="expression" dxfId="22" priority="20">
      <formula>RIGHT(E17, 3) = "_PT"</formula>
    </cfRule>
  </conditionalFormatting>
  <conditionalFormatting sqref="E25:E26">
    <cfRule type="expression" dxfId="21" priority="18">
      <formula>RIGHT(E25, 3) = "_PT"</formula>
    </cfRule>
  </conditionalFormatting>
  <conditionalFormatting sqref="E29">
    <cfRule type="expression" dxfId="20" priority="17">
      <formula>RIGHT(E29, 3) = "_PT"</formula>
    </cfRule>
  </conditionalFormatting>
  <conditionalFormatting sqref="E31">
    <cfRule type="expression" dxfId="19" priority="16">
      <formula>RIGHT(E31, 3) = "_PT"</formula>
    </cfRule>
  </conditionalFormatting>
  <conditionalFormatting sqref="E34">
    <cfRule type="expression" dxfId="18" priority="15">
      <formula>RIGHT(E34, 3) = "_PT"</formula>
    </cfRule>
  </conditionalFormatting>
  <conditionalFormatting sqref="E36:E38">
    <cfRule type="expression" dxfId="17" priority="12">
      <formula>RIGHT(E36, 3) = "_PT"</formula>
    </cfRule>
  </conditionalFormatting>
  <conditionalFormatting sqref="E41">
    <cfRule type="expression" dxfId="16" priority="11">
      <formula>RIGHT(E41, 3) = "_PT"</formula>
    </cfRule>
  </conditionalFormatting>
  <conditionalFormatting sqref="E49:E50">
    <cfRule type="expression" dxfId="15" priority="9">
      <formula>RIGHT(E49, 3) = "_PT"</formula>
    </cfRule>
  </conditionalFormatting>
  <conditionalFormatting sqref="E52:E57 E59:E62">
    <cfRule type="expression" dxfId="14" priority="4">
      <formula>RIGHT(E52, 3) = "_PT"</formula>
    </cfRule>
  </conditionalFormatting>
  <conditionalFormatting sqref="E64:E66">
    <cfRule type="expression" dxfId="13" priority="1">
      <formula>RIGHT(E64, 3) = "_PT"</formula>
    </cfRule>
  </conditionalFormatting>
  <dataValidations count="1">
    <dataValidation type="date" allowBlank="1" showInputMessage="1" showErrorMessage="1" sqref="D44" xr:uid="{029E281A-EFFB-433A-973C-695161342866}">
      <formula1>36526</formula1>
      <formula2>73051</formula2>
    </dataValidation>
  </dataValidations>
  <hyperlinks>
    <hyperlink ref="E47" r:id="rId1" xr:uid="{1B24E4AA-9F72-4366-900B-C646EAF014F5}"/>
    <hyperlink ref="E9" r:id="rId2" xr:uid="{A0466AC4-3AA7-421F-A849-904DF0B6F754}"/>
    <hyperlink ref="F9" r:id="rId3" xr:uid="{A35A512C-4AAD-43BD-A94E-9C8C48D675A7}"/>
    <hyperlink ref="E50" r:id="rId4" xr:uid="{840985AD-0CA9-4D17-B059-FD856AB8643E}"/>
    <hyperlink ref="F50" r:id="rId5" xr:uid="{DF6383EC-A05B-448E-B264-8FB4074379FB}"/>
    <hyperlink ref="E32" r:id="rId6" xr:uid="{2384E9C2-7F4E-43AF-A7E2-6372ECED88D2}"/>
    <hyperlink ref="F32" r:id="rId7" xr:uid="{AE477F64-1058-4D22-A18A-EE5E829E1930}"/>
    <hyperlink ref="E56" r:id="rId8" xr:uid="{01BA953C-EA22-476A-A1B5-1D3779FE3204}"/>
    <hyperlink ref="F56" r:id="rId9" xr:uid="{C34A663A-71B1-4E56-BDA1-39709D25C3E2}"/>
    <hyperlink ref="E54" r:id="rId10" xr:uid="{237AF3E5-2E17-4C16-BC3B-B2A99D2199CA}"/>
    <hyperlink ref="F54" r:id="rId11" display="Pharaoh’S Mystery " xr:uid="{DA51380A-D20D-4CCC-BDD1-D8278BEC28A5}"/>
    <hyperlink ref="E38" r:id="rId12" xr:uid="{F72E1884-4AD5-40BB-8CA3-AC3F8417ECE0}"/>
    <hyperlink ref="F38" r:id="rId13" xr:uid="{6CBC2F17-7A75-4C8E-ACA0-9529F06EC321}"/>
    <hyperlink ref="E30" r:id="rId14" xr:uid="{3108A5A9-C1A5-4A4E-A1AF-AA7D47C330E5}"/>
    <hyperlink ref="F30" r:id="rId15" xr:uid="{637A1BC8-7F3B-4688-94D5-B018CFBDD7BC}"/>
    <hyperlink ref="E58" r:id="rId16" xr:uid="{D0DEFF6C-2B38-4A7C-999E-C1C8A6F04DBF}"/>
    <hyperlink ref="F58" r:id="rId17" xr:uid="{7D6061E4-7BAA-4FA3-9302-EE8EB4AE1C6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F795-1A15-48A2-9EBF-B2483374B66A}">
  <dimension ref="A1:AI121"/>
  <sheetViews>
    <sheetView workbookViewId="0">
      <pane xSplit="2" ySplit="1" topLeftCell="J2" activePane="bottomRight" state="frozen"/>
      <selection pane="bottomRight" activeCell="N9" sqref="N9"/>
      <selection pane="bottomLeft"/>
      <selection pane="topRight"/>
    </sheetView>
  </sheetViews>
  <sheetFormatPr defaultColWidth="9.140625" defaultRowHeight="15"/>
  <cols>
    <col min="1" max="1" width="39.42578125" style="6" bestFit="1" customWidth="1"/>
    <col min="2" max="2" width="13.42578125" style="2" bestFit="1" customWidth="1"/>
    <col min="3" max="3" width="10.28515625" style="2" bestFit="1" customWidth="1"/>
    <col min="4" max="4" width="25.7109375" style="6" hidden="1" customWidth="1"/>
    <col min="5" max="5" width="38.28515625" style="90" bestFit="1" customWidth="1"/>
    <col min="6" max="6" width="10.85546875" style="36" customWidth="1"/>
    <col min="7" max="7" width="6.140625" style="36" customWidth="1"/>
    <col min="8" max="10" width="18" style="96" customWidth="1"/>
    <col min="11" max="11" width="40.42578125" style="271" customWidth="1"/>
    <col min="12" max="12" width="36.85546875" style="234" customWidth="1"/>
    <col min="13" max="13" width="30.5703125" style="234" customWidth="1"/>
    <col min="14" max="14" width="47.85546875" style="283" bestFit="1" customWidth="1"/>
    <col min="15" max="15" width="8.28515625" style="36" bestFit="1" customWidth="1"/>
    <col min="16" max="16" width="8.85546875" style="99" bestFit="1" customWidth="1"/>
    <col min="17" max="17" width="13.42578125" style="36" bestFit="1" customWidth="1"/>
    <col min="18" max="16384" width="9.140625" style="6"/>
  </cols>
  <sheetData>
    <row r="1" spans="1:35" ht="32.25">
      <c r="A1" s="314" t="s">
        <v>944</v>
      </c>
      <c r="B1" s="117" t="s">
        <v>1</v>
      </c>
      <c r="C1" s="67" t="s">
        <v>2</v>
      </c>
      <c r="D1" s="67" t="s">
        <v>4</v>
      </c>
      <c r="E1" s="67" t="s">
        <v>5</v>
      </c>
      <c r="F1" s="164" t="s">
        <v>6</v>
      </c>
      <c r="G1" s="164" t="s">
        <v>7</v>
      </c>
      <c r="H1" s="284" t="s">
        <v>8</v>
      </c>
      <c r="I1" s="284" t="s">
        <v>9</v>
      </c>
      <c r="J1" s="284" t="s">
        <v>10</v>
      </c>
      <c r="K1" s="248" t="s">
        <v>11</v>
      </c>
      <c r="L1" s="249" t="s">
        <v>12</v>
      </c>
      <c r="M1" s="227" t="s">
        <v>13</v>
      </c>
      <c r="N1" s="282" t="s">
        <v>14</v>
      </c>
      <c r="O1" s="73" t="s">
        <v>15</v>
      </c>
      <c r="P1" s="180" t="s">
        <v>16</v>
      </c>
      <c r="Q1" s="122" t="s">
        <v>17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  <c r="AE1" s="2"/>
      <c r="AF1" s="2"/>
      <c r="AG1" s="2"/>
      <c r="AH1" s="2"/>
      <c r="AI1" s="2"/>
    </row>
    <row r="2" spans="1:35" ht="45.75">
      <c r="A2" s="3" t="s">
        <v>945</v>
      </c>
      <c r="B2" s="160" t="s">
        <v>19</v>
      </c>
      <c r="C2" s="107" t="s">
        <v>20</v>
      </c>
      <c r="D2" s="181" t="s">
        <v>946</v>
      </c>
      <c r="E2" s="215" t="str">
        <f t="shared" ref="E2:E34" si="0">HYPERLINK(D2,A2&amp;" Demo")</f>
        <v>777 Hot Megaways Demo</v>
      </c>
      <c r="F2" s="74">
        <v>117649</v>
      </c>
      <c r="G2" s="74">
        <v>6</v>
      </c>
      <c r="H2" s="216">
        <v>0.2</v>
      </c>
      <c r="I2" s="216">
        <v>10</v>
      </c>
      <c r="J2" s="216">
        <v>0.2</v>
      </c>
      <c r="K2" s="240" t="s">
        <v>947</v>
      </c>
      <c r="L2" s="134" t="s">
        <v>948</v>
      </c>
      <c r="M2" s="134" t="s">
        <v>949</v>
      </c>
      <c r="N2" s="134" t="s">
        <v>950</v>
      </c>
      <c r="O2" s="74" t="s">
        <v>26</v>
      </c>
      <c r="P2" s="57">
        <v>0.34279999999999999</v>
      </c>
      <c r="Q2" s="62" t="s">
        <v>27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35" ht="45.75">
      <c r="A3" s="7" t="s">
        <v>951</v>
      </c>
      <c r="B3" s="8" t="s">
        <v>19</v>
      </c>
      <c r="C3" s="9" t="s">
        <v>20</v>
      </c>
      <c r="D3" s="85" t="s">
        <v>952</v>
      </c>
      <c r="E3" s="208" t="str">
        <f t="shared" si="0"/>
        <v>Boxing Champion Demo</v>
      </c>
      <c r="F3" s="10">
        <v>117649</v>
      </c>
      <c r="G3" s="10">
        <v>6</v>
      </c>
      <c r="H3" s="209">
        <v>0.2</v>
      </c>
      <c r="I3" s="209">
        <v>10</v>
      </c>
      <c r="J3" s="209">
        <v>0.2</v>
      </c>
      <c r="K3" s="143" t="s">
        <v>953</v>
      </c>
      <c r="L3" s="87" t="s">
        <v>948</v>
      </c>
      <c r="M3" s="87" t="s">
        <v>954</v>
      </c>
      <c r="N3" s="285" t="s">
        <v>955</v>
      </c>
      <c r="O3" s="10" t="s">
        <v>26</v>
      </c>
      <c r="P3" s="56">
        <v>0.34279999999999999</v>
      </c>
      <c r="Q3" s="60" t="s">
        <v>43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35" ht="45.75">
      <c r="A4" s="7" t="s">
        <v>956</v>
      </c>
      <c r="B4" s="8" t="s">
        <v>19</v>
      </c>
      <c r="C4" s="9" t="s">
        <v>20</v>
      </c>
      <c r="D4" s="85" t="s">
        <v>957</v>
      </c>
      <c r="E4" s="208" t="str">
        <f t="shared" si="0"/>
        <v>Chef’S Delights Megaways Demo</v>
      </c>
      <c r="F4" s="10">
        <v>117649</v>
      </c>
      <c r="G4" s="10">
        <v>7</v>
      </c>
      <c r="H4" s="209">
        <v>0.2</v>
      </c>
      <c r="I4" s="209">
        <v>10</v>
      </c>
      <c r="J4" s="209">
        <v>0.2</v>
      </c>
      <c r="K4" s="143">
        <v>50000</v>
      </c>
      <c r="L4" s="87" t="s">
        <v>948</v>
      </c>
      <c r="M4" s="87" t="s">
        <v>30</v>
      </c>
      <c r="N4" s="87" t="s">
        <v>31</v>
      </c>
      <c r="O4" s="10" t="s">
        <v>26</v>
      </c>
      <c r="P4" s="56">
        <v>0.21759999999999999</v>
      </c>
      <c r="Q4" s="60" t="s">
        <v>32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35" ht="45.75">
      <c r="A5" s="7" t="s">
        <v>958</v>
      </c>
      <c r="B5" s="8" t="s">
        <v>19</v>
      </c>
      <c r="C5" s="9" t="s">
        <v>20</v>
      </c>
      <c r="D5" s="85" t="s">
        <v>959</v>
      </c>
      <c r="E5" s="208" t="str">
        <f t="shared" si="0"/>
        <v>Far West Mania Megaways Demo</v>
      </c>
      <c r="F5" s="10">
        <v>117649</v>
      </c>
      <c r="G5" s="10">
        <v>6</v>
      </c>
      <c r="H5" s="209">
        <v>0.2</v>
      </c>
      <c r="I5" s="209">
        <v>10</v>
      </c>
      <c r="J5" s="209">
        <v>0.2</v>
      </c>
      <c r="K5" s="143">
        <v>50000</v>
      </c>
      <c r="L5" s="87" t="s">
        <v>948</v>
      </c>
      <c r="M5" s="87" t="s">
        <v>30</v>
      </c>
      <c r="N5" s="87" t="s">
        <v>38</v>
      </c>
      <c r="O5" s="10" t="s">
        <v>26</v>
      </c>
      <c r="P5" s="56">
        <v>0.4098</v>
      </c>
      <c r="Q5" s="60" t="s">
        <v>39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35" ht="45.75">
      <c r="A6" s="7" t="s">
        <v>960</v>
      </c>
      <c r="B6" s="8" t="s">
        <v>19</v>
      </c>
      <c r="C6" s="9" t="s">
        <v>20</v>
      </c>
      <c r="D6" s="85" t="s">
        <v>961</v>
      </c>
      <c r="E6" s="208" t="str">
        <f t="shared" si="0"/>
        <v>Fire Warlock Demo</v>
      </c>
      <c r="F6" s="10">
        <v>117649</v>
      </c>
      <c r="G6" s="10">
        <v>6</v>
      </c>
      <c r="H6" s="209">
        <v>0.2</v>
      </c>
      <c r="I6" s="209">
        <v>10</v>
      </c>
      <c r="J6" s="209">
        <v>0.2</v>
      </c>
      <c r="K6" s="143" t="s">
        <v>962</v>
      </c>
      <c r="L6" s="87" t="s">
        <v>948</v>
      </c>
      <c r="M6" s="87" t="s">
        <v>963</v>
      </c>
      <c r="N6" s="87" t="s">
        <v>964</v>
      </c>
      <c r="O6" s="10" t="s">
        <v>26</v>
      </c>
      <c r="P6" s="56">
        <v>0.3523</v>
      </c>
      <c r="Q6" s="60" t="s">
        <v>43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35" ht="45.75">
      <c r="A7" s="7" t="s">
        <v>965</v>
      </c>
      <c r="B7" s="8" t="s">
        <v>19</v>
      </c>
      <c r="C7" s="9" t="s">
        <v>20</v>
      </c>
      <c r="D7" s="85" t="s">
        <v>966</v>
      </c>
      <c r="E7" s="208" t="str">
        <f t="shared" si="0"/>
        <v>Golden Ocean Megaways Demo</v>
      </c>
      <c r="F7" s="10">
        <v>117649</v>
      </c>
      <c r="G7" s="10">
        <v>7</v>
      </c>
      <c r="H7" s="209">
        <v>0.2</v>
      </c>
      <c r="I7" s="209">
        <v>10</v>
      </c>
      <c r="J7" s="209">
        <v>0.2</v>
      </c>
      <c r="K7" s="143" t="s">
        <v>962</v>
      </c>
      <c r="L7" s="87" t="s">
        <v>948</v>
      </c>
      <c r="M7" s="87" t="s">
        <v>963</v>
      </c>
      <c r="N7" s="285" t="s">
        <v>964</v>
      </c>
      <c r="O7" s="10" t="s">
        <v>26</v>
      </c>
      <c r="P7" s="56">
        <v>0.34279999999999999</v>
      </c>
      <c r="Q7" s="60" t="s">
        <v>43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35" ht="45.75">
      <c r="A8" s="7" t="s">
        <v>967</v>
      </c>
      <c r="B8" s="8" t="s">
        <v>19</v>
      </c>
      <c r="C8" s="9" t="s">
        <v>20</v>
      </c>
      <c r="D8" s="85" t="s">
        <v>968</v>
      </c>
      <c r="E8" s="208" t="str">
        <f t="shared" si="0"/>
        <v>Gold Mine Mania Megaways Demo</v>
      </c>
      <c r="F8" s="10">
        <v>117649</v>
      </c>
      <c r="G8" s="10">
        <v>6</v>
      </c>
      <c r="H8" s="209">
        <v>0.2</v>
      </c>
      <c r="I8" s="209">
        <v>10</v>
      </c>
      <c r="J8" s="209">
        <v>0.2</v>
      </c>
      <c r="K8" s="143">
        <v>21000</v>
      </c>
      <c r="L8" s="87" t="s">
        <v>948</v>
      </c>
      <c r="M8" s="87" t="s">
        <v>61</v>
      </c>
      <c r="N8" s="87" t="s">
        <v>62</v>
      </c>
      <c r="O8" s="10" t="s">
        <v>26</v>
      </c>
      <c r="P8" s="56">
        <v>0.43290000000000001</v>
      </c>
      <c r="Q8" s="60" t="s">
        <v>43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35">
      <c r="A9" s="324" t="s">
        <v>969</v>
      </c>
      <c r="B9" s="342" t="s">
        <v>19</v>
      </c>
      <c r="C9" s="9" t="s">
        <v>20</v>
      </c>
      <c r="D9" s="322" t="s">
        <v>970</v>
      </c>
      <c r="E9" s="345" t="s">
        <v>51</v>
      </c>
      <c r="F9" s="323">
        <v>117649</v>
      </c>
      <c r="G9" s="323">
        <v>6</v>
      </c>
      <c r="H9" s="343">
        <v>0.2</v>
      </c>
      <c r="I9" s="343">
        <v>20</v>
      </c>
      <c r="J9" s="343">
        <v>1</v>
      </c>
      <c r="K9" s="323" t="s">
        <v>971</v>
      </c>
      <c r="L9" s="323" t="s">
        <v>972</v>
      </c>
      <c r="M9" s="323" t="s">
        <v>973</v>
      </c>
      <c r="N9" s="321" t="s">
        <v>57</v>
      </c>
      <c r="O9" s="323" t="s">
        <v>26</v>
      </c>
      <c r="P9" s="346">
        <v>0.49259999999999998</v>
      </c>
      <c r="Q9" s="323" t="s">
        <v>32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35" ht="45.75">
      <c r="A10" s="7" t="s">
        <v>974</v>
      </c>
      <c r="B10" s="8" t="s">
        <v>19</v>
      </c>
      <c r="C10" s="9" t="s">
        <v>20</v>
      </c>
      <c r="D10" s="85" t="s">
        <v>975</v>
      </c>
      <c r="E10" s="208" t="str">
        <f t="shared" si="0"/>
        <v>Secrets Of Persia Megaways Demo</v>
      </c>
      <c r="F10" s="10">
        <v>117649</v>
      </c>
      <c r="G10" s="10">
        <v>7</v>
      </c>
      <c r="H10" s="209">
        <v>0.2</v>
      </c>
      <c r="I10" s="209">
        <v>10</v>
      </c>
      <c r="J10" s="209">
        <v>0.2</v>
      </c>
      <c r="K10" s="143">
        <v>21000</v>
      </c>
      <c r="L10" s="87" t="s">
        <v>948</v>
      </c>
      <c r="M10" s="87" t="s">
        <v>61</v>
      </c>
      <c r="N10" s="87" t="s">
        <v>976</v>
      </c>
      <c r="O10" s="10" t="s">
        <v>26</v>
      </c>
      <c r="P10" s="56">
        <v>0.23169999999999999</v>
      </c>
      <c r="Q10" s="60" t="s">
        <v>43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35" ht="45.75">
      <c r="A11" s="7" t="s">
        <v>977</v>
      </c>
      <c r="B11" s="8" t="s">
        <v>19</v>
      </c>
      <c r="C11" s="9" t="s">
        <v>20</v>
      </c>
      <c r="D11" s="85" t="s">
        <v>978</v>
      </c>
      <c r="E11" s="208" t="str">
        <f t="shared" si="0"/>
        <v>Sweet Fortune Megaways Demo</v>
      </c>
      <c r="F11" s="10">
        <v>117649</v>
      </c>
      <c r="G11" s="10">
        <v>6</v>
      </c>
      <c r="H11" s="209">
        <v>0.2</v>
      </c>
      <c r="I11" s="209">
        <v>10</v>
      </c>
      <c r="J11" s="209">
        <v>0.2</v>
      </c>
      <c r="K11" s="143">
        <v>50000</v>
      </c>
      <c r="L11" s="87" t="s">
        <v>948</v>
      </c>
      <c r="M11" s="87" t="s">
        <v>30</v>
      </c>
      <c r="N11" s="87" t="s">
        <v>979</v>
      </c>
      <c r="O11" s="87" t="s">
        <v>26</v>
      </c>
      <c r="P11" s="56">
        <v>0.44052863399999997</v>
      </c>
      <c r="Q11" s="60" t="s">
        <v>27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35" ht="45.75">
      <c r="A12" s="108" t="s">
        <v>980</v>
      </c>
      <c r="B12" s="169" t="s">
        <v>19</v>
      </c>
      <c r="C12" s="394" t="s">
        <v>20</v>
      </c>
      <c r="D12" s="219" t="s">
        <v>981</v>
      </c>
      <c r="E12" s="220" t="str">
        <f t="shared" si="0"/>
        <v>Take The Money Megaways Demo</v>
      </c>
      <c r="F12" s="150">
        <v>117649</v>
      </c>
      <c r="G12" s="150">
        <v>6</v>
      </c>
      <c r="H12" s="221">
        <v>0.2</v>
      </c>
      <c r="I12" s="221">
        <v>10</v>
      </c>
      <c r="J12" s="221">
        <v>0.2</v>
      </c>
      <c r="K12" s="241">
        <v>50000</v>
      </c>
      <c r="L12" s="222" t="s">
        <v>948</v>
      </c>
      <c r="M12" s="222" t="s">
        <v>30</v>
      </c>
      <c r="N12" s="222" t="s">
        <v>42</v>
      </c>
      <c r="O12" s="150" t="s">
        <v>26</v>
      </c>
      <c r="P12" s="115">
        <v>0.2336</v>
      </c>
      <c r="Q12" s="116" t="s">
        <v>43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35" ht="30.75">
      <c r="A13" s="3" t="s">
        <v>982</v>
      </c>
      <c r="B13" s="399" t="s">
        <v>77</v>
      </c>
      <c r="C13" s="161" t="s">
        <v>20</v>
      </c>
      <c r="D13" s="181" t="s">
        <v>983</v>
      </c>
      <c r="E13" s="215" t="str">
        <f t="shared" si="0"/>
        <v>Abigail Ratchford's Treasure Quest Demo</v>
      </c>
      <c r="F13" s="74">
        <v>243</v>
      </c>
      <c r="G13" s="74">
        <v>5</v>
      </c>
      <c r="H13" s="216">
        <v>0.3</v>
      </c>
      <c r="I13" s="216">
        <v>6</v>
      </c>
      <c r="J13" s="216">
        <v>0.9</v>
      </c>
      <c r="K13" s="240">
        <v>38100</v>
      </c>
      <c r="L13" s="134" t="s">
        <v>984</v>
      </c>
      <c r="M13" s="134" t="s">
        <v>80</v>
      </c>
      <c r="N13" s="134" t="s">
        <v>985</v>
      </c>
      <c r="O13" s="74" t="s">
        <v>26</v>
      </c>
      <c r="P13" s="57">
        <v>0.317</v>
      </c>
      <c r="Q13" s="62" t="s">
        <v>986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35" ht="30.75">
      <c r="A14" s="7" t="s">
        <v>987</v>
      </c>
      <c r="B14" s="118" t="s">
        <v>77</v>
      </c>
      <c r="C14" s="68" t="s">
        <v>20</v>
      </c>
      <c r="D14" s="85" t="s">
        <v>988</v>
      </c>
      <c r="E14" s="208" t="str">
        <f>HYPERLINK(D14,A14&amp;" Demo")</f>
        <v>Alchemy Riches Demo</v>
      </c>
      <c r="F14" s="10">
        <v>25</v>
      </c>
      <c r="G14" s="10">
        <v>5</v>
      </c>
      <c r="H14" s="209">
        <v>0.25</v>
      </c>
      <c r="I14" s="209">
        <v>25</v>
      </c>
      <c r="J14" s="209">
        <v>2.5</v>
      </c>
      <c r="K14" s="143">
        <v>50000</v>
      </c>
      <c r="L14" s="87" t="s">
        <v>989</v>
      </c>
      <c r="M14" s="87" t="s">
        <v>501</v>
      </c>
      <c r="N14" s="87" t="s">
        <v>502</v>
      </c>
      <c r="O14" s="10" t="s">
        <v>26</v>
      </c>
      <c r="P14" s="56">
        <v>0.3584</v>
      </c>
      <c r="Q14" s="60" t="s">
        <v>39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35" ht="30.75">
      <c r="A15" s="7" t="s">
        <v>990</v>
      </c>
      <c r="B15" s="118" t="s">
        <v>77</v>
      </c>
      <c r="C15" s="68" t="s">
        <v>20</v>
      </c>
      <c r="D15" s="85" t="s">
        <v>991</v>
      </c>
      <c r="E15" s="208" t="str">
        <f>HYPERLINK(D15,A15&amp;" Demo")</f>
        <v>Astral Spin Demo</v>
      </c>
      <c r="F15" s="10">
        <v>25</v>
      </c>
      <c r="G15" s="10">
        <v>5</v>
      </c>
      <c r="H15" s="209">
        <v>0.25</v>
      </c>
      <c r="I15" s="209">
        <v>25</v>
      </c>
      <c r="J15" s="209">
        <v>2.5</v>
      </c>
      <c r="K15" s="143">
        <v>28500</v>
      </c>
      <c r="L15" s="87" t="s">
        <v>989</v>
      </c>
      <c r="M15" s="87" t="s">
        <v>310</v>
      </c>
      <c r="N15" s="87" t="s">
        <v>311</v>
      </c>
      <c r="O15" s="10" t="s">
        <v>26</v>
      </c>
      <c r="P15" s="56">
        <v>0.50760000000000005</v>
      </c>
      <c r="Q15" s="60" t="s">
        <v>43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35" ht="30.75">
      <c r="A16" s="7" t="s">
        <v>992</v>
      </c>
      <c r="B16" s="118" t="s">
        <v>77</v>
      </c>
      <c r="C16" s="213" t="s">
        <v>98</v>
      </c>
      <c r="D16" s="85" t="s">
        <v>993</v>
      </c>
      <c r="E16" s="208" t="str">
        <f>HYPERLINK(D16,A16&amp;" Demo")</f>
        <v>Athena's Treasure Demo</v>
      </c>
      <c r="F16" s="10">
        <v>10</v>
      </c>
      <c r="G16" s="10">
        <v>5</v>
      </c>
      <c r="H16" s="210">
        <v>0.1</v>
      </c>
      <c r="I16" s="209">
        <v>20</v>
      </c>
      <c r="J16" s="209">
        <v>1</v>
      </c>
      <c r="K16" s="143">
        <v>42000</v>
      </c>
      <c r="L16" s="87" t="s">
        <v>994</v>
      </c>
      <c r="M16" s="87" t="s">
        <v>61</v>
      </c>
      <c r="N16" s="87" t="s">
        <v>995</v>
      </c>
      <c r="O16" s="87" t="s">
        <v>26</v>
      </c>
      <c r="P16" s="56">
        <v>0.12</v>
      </c>
      <c r="Q16" s="60" t="s">
        <v>43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30.75">
      <c r="A17" s="7" t="s">
        <v>145</v>
      </c>
      <c r="B17" s="118" t="s">
        <v>77</v>
      </c>
      <c r="C17" s="213" t="s">
        <v>98</v>
      </c>
      <c r="D17" s="85" t="s">
        <v>996</v>
      </c>
      <c r="E17" s="208" t="str">
        <f>HYPERLINK(D17,A17&amp;" Demo")</f>
        <v>Cabaret Demo</v>
      </c>
      <c r="F17" s="10">
        <v>243</v>
      </c>
      <c r="G17" s="10">
        <v>5</v>
      </c>
      <c r="H17" s="209">
        <v>0.25</v>
      </c>
      <c r="I17" s="209">
        <v>25</v>
      </c>
      <c r="J17" s="209">
        <v>2.5</v>
      </c>
      <c r="K17" s="143">
        <v>27000</v>
      </c>
      <c r="L17" s="87" t="s">
        <v>989</v>
      </c>
      <c r="M17" s="87" t="s">
        <v>147</v>
      </c>
      <c r="N17" s="87" t="s">
        <v>997</v>
      </c>
      <c r="O17" s="10" t="s">
        <v>26</v>
      </c>
      <c r="P17" s="56">
        <v>0.27779999999999999</v>
      </c>
      <c r="Q17" s="60" t="s">
        <v>27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30.75">
      <c r="A18" s="7" t="s">
        <v>998</v>
      </c>
      <c r="B18" s="118" t="s">
        <v>77</v>
      </c>
      <c r="C18" s="213" t="s">
        <v>98</v>
      </c>
      <c r="D18" s="85" t="s">
        <v>999</v>
      </c>
      <c r="E18" s="208" t="str">
        <f>HYPERLINK(D18,A18&amp;" Demo")</f>
        <v>Captain Lucky Demo</v>
      </c>
      <c r="F18" s="10">
        <v>25</v>
      </c>
      <c r="G18" s="10">
        <v>5</v>
      </c>
      <c r="H18" s="209">
        <v>0.25</v>
      </c>
      <c r="I18" s="209">
        <v>25</v>
      </c>
      <c r="J18" s="209">
        <v>1</v>
      </c>
      <c r="K18" s="143">
        <v>57004</v>
      </c>
      <c r="L18" s="87" t="s">
        <v>1000</v>
      </c>
      <c r="M18" s="87" t="s">
        <v>1001</v>
      </c>
      <c r="N18" s="87" t="s">
        <v>1002</v>
      </c>
      <c r="O18" s="10" t="s">
        <v>26</v>
      </c>
      <c r="P18" s="56">
        <v>0.31790000000000002</v>
      </c>
      <c r="Q18" s="60" t="s">
        <v>43</v>
      </c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</row>
    <row r="19" spans="1:29" ht="30.75">
      <c r="A19" s="7" t="s">
        <v>1003</v>
      </c>
      <c r="B19" s="118" t="s">
        <v>77</v>
      </c>
      <c r="C19" s="213" t="s">
        <v>98</v>
      </c>
      <c r="D19" s="85" t="s">
        <v>1004</v>
      </c>
      <c r="E19" s="208" t="str">
        <f>HYPERLINK(D19,A19&amp;" Demo")</f>
        <v>Captain Nemo Demo</v>
      </c>
      <c r="F19" s="10">
        <v>10</v>
      </c>
      <c r="G19" s="10">
        <v>5</v>
      </c>
      <c r="H19" s="210">
        <v>0.1</v>
      </c>
      <c r="I19" s="210">
        <v>25</v>
      </c>
      <c r="J19" s="210">
        <v>1</v>
      </c>
      <c r="K19" s="259">
        <v>37750</v>
      </c>
      <c r="L19" s="211" t="s">
        <v>1005</v>
      </c>
      <c r="M19" s="87" t="s">
        <v>306</v>
      </c>
      <c r="N19" s="87" t="s">
        <v>307</v>
      </c>
      <c r="O19" s="93" t="s">
        <v>26</v>
      </c>
      <c r="P19" s="56">
        <v>0.32469999999999999</v>
      </c>
      <c r="Q19" s="60" t="s">
        <v>27</v>
      </c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</row>
    <row r="20" spans="1:29" ht="30.75">
      <c r="A20" s="7" t="s">
        <v>158</v>
      </c>
      <c r="B20" s="118" t="s">
        <v>77</v>
      </c>
      <c r="C20" s="213" t="s">
        <v>98</v>
      </c>
      <c r="D20" s="85" t="s">
        <v>1006</v>
      </c>
      <c r="E20" s="208" t="str">
        <f>HYPERLINK(D20,A20&amp;" Demo")</f>
        <v>Castle Slots Demo</v>
      </c>
      <c r="F20" s="10">
        <v>10</v>
      </c>
      <c r="G20" s="10">
        <v>5</v>
      </c>
      <c r="H20" s="209">
        <v>0.1</v>
      </c>
      <c r="I20" s="209">
        <v>50</v>
      </c>
      <c r="J20" s="209">
        <v>1</v>
      </c>
      <c r="K20" s="143">
        <v>35900</v>
      </c>
      <c r="L20" s="87" t="s">
        <v>1007</v>
      </c>
      <c r="M20" s="87" t="s">
        <v>161</v>
      </c>
      <c r="N20" s="87" t="s">
        <v>1008</v>
      </c>
      <c r="O20" s="10" t="s">
        <v>26</v>
      </c>
      <c r="P20" s="56">
        <v>0.35589999999999999</v>
      </c>
      <c r="Q20" s="60" t="s">
        <v>43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45.75">
      <c r="A21" s="7" t="s">
        <v>1009</v>
      </c>
      <c r="B21" s="118" t="s">
        <v>77</v>
      </c>
      <c r="C21" s="213" t="s">
        <v>98</v>
      </c>
      <c r="D21" s="85" t="s">
        <v>1010</v>
      </c>
      <c r="E21" s="208" t="str">
        <f>HYPERLINK(D21,A21&amp;" Demo")</f>
        <v>Circus Mystery Demo</v>
      </c>
      <c r="F21" s="10">
        <v>25</v>
      </c>
      <c r="G21" s="10">
        <v>5</v>
      </c>
      <c r="H21" s="209">
        <v>0.25</v>
      </c>
      <c r="I21" s="209">
        <v>25</v>
      </c>
      <c r="J21" s="209">
        <v>2.5</v>
      </c>
      <c r="K21" s="143" t="s">
        <v>1011</v>
      </c>
      <c r="L21" s="87" t="s">
        <v>989</v>
      </c>
      <c r="M21" s="87" t="s">
        <v>1012</v>
      </c>
      <c r="N21" s="87" t="s">
        <v>1013</v>
      </c>
      <c r="O21" s="10" t="s">
        <v>26</v>
      </c>
      <c r="P21" s="56">
        <v>0.4032</v>
      </c>
      <c r="Q21" s="60" t="s">
        <v>32</v>
      </c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1:29" ht="30.75">
      <c r="A22" s="7" t="s">
        <v>1014</v>
      </c>
      <c r="B22" s="118" t="s">
        <v>77</v>
      </c>
      <c r="C22" s="213" t="s">
        <v>98</v>
      </c>
      <c r="D22" s="85" t="s">
        <v>1015</v>
      </c>
      <c r="E22" s="208" t="str">
        <f>HYPERLINK(D22,A22&amp;" Demo")</f>
        <v>Cleopatra's Treasure Demo</v>
      </c>
      <c r="F22" s="10">
        <v>10</v>
      </c>
      <c r="G22" s="10">
        <v>5</v>
      </c>
      <c r="H22" s="209">
        <v>0.1</v>
      </c>
      <c r="I22" s="209">
        <v>10</v>
      </c>
      <c r="J22" s="209">
        <v>1</v>
      </c>
      <c r="K22" s="143">
        <v>55000</v>
      </c>
      <c r="L22" s="87" t="s">
        <v>1016</v>
      </c>
      <c r="M22" s="87" t="s">
        <v>258</v>
      </c>
      <c r="N22" s="87" t="s">
        <v>259</v>
      </c>
      <c r="O22" s="10" t="s">
        <v>26</v>
      </c>
      <c r="P22" s="56">
        <v>0.3236</v>
      </c>
      <c r="Q22" s="60" t="s">
        <v>43</v>
      </c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spans="1:29" ht="30.75">
      <c r="A23" s="7" t="s">
        <v>1017</v>
      </c>
      <c r="B23" s="118" t="s">
        <v>77</v>
      </c>
      <c r="C23" s="213" t="s">
        <v>98</v>
      </c>
      <c r="D23" s="85" t="s">
        <v>1018</v>
      </c>
      <c r="E23" s="208" t="str">
        <f>HYPERLINK(D23,A23&amp;" Demo")</f>
        <v>Cosmic Monsters Party Demo</v>
      </c>
      <c r="F23" s="10" t="s">
        <v>571</v>
      </c>
      <c r="G23" s="10">
        <v>3</v>
      </c>
      <c r="H23" s="209">
        <v>0.25</v>
      </c>
      <c r="I23" s="209">
        <v>25</v>
      </c>
      <c r="J23" s="209">
        <v>2.5</v>
      </c>
      <c r="K23" s="143">
        <v>28500</v>
      </c>
      <c r="L23" s="87" t="s">
        <v>989</v>
      </c>
      <c r="M23" s="87" t="s">
        <v>85</v>
      </c>
      <c r="N23" s="87" t="s">
        <v>86</v>
      </c>
      <c r="O23" s="10" t="s">
        <v>26</v>
      </c>
      <c r="P23" s="56">
        <v>0.23449999999999999</v>
      </c>
      <c r="Q23" s="60" t="s">
        <v>27</v>
      </c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 ht="76.5">
      <c r="A24" s="13" t="s">
        <v>1019</v>
      </c>
      <c r="B24" s="118" t="s">
        <v>77</v>
      </c>
      <c r="C24" s="213" t="s">
        <v>98</v>
      </c>
      <c r="D24" s="85" t="s">
        <v>1020</v>
      </c>
      <c r="E24" s="208" t="str">
        <f>HYPERLINK(D24,A24&amp;" Demo")</f>
        <v>Dj In Session Demo</v>
      </c>
      <c r="F24" s="93">
        <v>243</v>
      </c>
      <c r="G24" s="93">
        <v>5</v>
      </c>
      <c r="H24" s="210">
        <v>0.25</v>
      </c>
      <c r="I24" s="210">
        <v>25</v>
      </c>
      <c r="J24" s="210">
        <v>2.5</v>
      </c>
      <c r="K24" s="259" t="s">
        <v>1021</v>
      </c>
      <c r="L24" s="211" t="s">
        <v>989</v>
      </c>
      <c r="M24" s="87" t="s">
        <v>1022</v>
      </c>
      <c r="N24" s="87" t="s">
        <v>1023</v>
      </c>
      <c r="O24" s="93" t="s">
        <v>26</v>
      </c>
      <c r="P24" s="29">
        <v>0.30209999999999998</v>
      </c>
      <c r="Q24" s="61" t="s">
        <v>43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45.75">
      <c r="A25" s="13" t="s">
        <v>1024</v>
      </c>
      <c r="B25" s="118" t="s">
        <v>77</v>
      </c>
      <c r="C25" s="214" t="s">
        <v>20</v>
      </c>
      <c r="D25" s="85" t="s">
        <v>1025</v>
      </c>
      <c r="E25" s="208" t="str">
        <f>HYPERLINK(D25,A25&amp;" Demo")</f>
        <v>Dream3Team Demo</v>
      </c>
      <c r="F25" s="93">
        <v>20</v>
      </c>
      <c r="G25" s="93">
        <v>5</v>
      </c>
      <c r="H25" s="209">
        <v>0.2</v>
      </c>
      <c r="I25" s="210">
        <v>25</v>
      </c>
      <c r="J25" s="210">
        <v>1</v>
      </c>
      <c r="K25" s="259" t="s">
        <v>1026</v>
      </c>
      <c r="L25" s="211" t="s">
        <v>1027</v>
      </c>
      <c r="M25" s="87" t="s">
        <v>1028</v>
      </c>
      <c r="N25" s="87" t="s">
        <v>1029</v>
      </c>
      <c r="O25" s="93" t="s">
        <v>26</v>
      </c>
      <c r="P25" s="29">
        <v>0.31319999999999998</v>
      </c>
      <c r="Q25" s="61" t="s">
        <v>43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 spans="1:29">
      <c r="A26" s="381" t="s">
        <v>813</v>
      </c>
      <c r="B26" s="382" t="s">
        <v>77</v>
      </c>
      <c r="C26" s="383" t="s">
        <v>98</v>
      </c>
      <c r="D26" s="386" t="s">
        <v>1030</v>
      </c>
      <c r="E26" s="349" t="s">
        <v>813</v>
      </c>
      <c r="F26" s="387">
        <v>10</v>
      </c>
      <c r="G26" s="387">
        <v>5</v>
      </c>
      <c r="H26" s="398">
        <v>0.1</v>
      </c>
      <c r="I26" s="398">
        <v>20</v>
      </c>
      <c r="J26" s="398">
        <v>1</v>
      </c>
      <c r="K26" s="398">
        <v>42000</v>
      </c>
      <c r="L26" s="387" t="s">
        <v>107</v>
      </c>
      <c r="M26" s="387" t="s">
        <v>247</v>
      </c>
      <c r="N26" s="334" t="s">
        <v>368</v>
      </c>
      <c r="O26" s="387" t="s">
        <v>26</v>
      </c>
      <c r="P26" s="387" t="s">
        <v>369</v>
      </c>
      <c r="Q26" s="393" t="s">
        <v>43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30.75">
      <c r="A27" s="7" t="s">
        <v>820</v>
      </c>
      <c r="B27" s="118" t="s">
        <v>77</v>
      </c>
      <c r="C27" s="213" t="s">
        <v>98</v>
      </c>
      <c r="D27" s="85" t="s">
        <v>1031</v>
      </c>
      <c r="E27" s="208" t="str">
        <f>HYPERLINK(D27,A27&amp;" Demo")</f>
        <v>Flamenco Passion Demo</v>
      </c>
      <c r="F27" s="10">
        <v>25</v>
      </c>
      <c r="G27" s="10">
        <v>5</v>
      </c>
      <c r="H27" s="209">
        <v>0.25</v>
      </c>
      <c r="I27" s="209">
        <v>25</v>
      </c>
      <c r="J27" s="209">
        <v>1</v>
      </c>
      <c r="K27" s="143">
        <v>26000</v>
      </c>
      <c r="L27" s="87" t="s">
        <v>1032</v>
      </c>
      <c r="M27" s="87" t="s">
        <v>103</v>
      </c>
      <c r="N27" s="87" t="s">
        <v>1033</v>
      </c>
      <c r="O27" s="10" t="s">
        <v>26</v>
      </c>
      <c r="P27" s="56">
        <v>0.19400000000000001</v>
      </c>
      <c r="Q27" s="60" t="s">
        <v>32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30.75">
      <c r="A28" s="13" t="s">
        <v>298</v>
      </c>
      <c r="B28" s="118" t="s">
        <v>77</v>
      </c>
      <c r="C28" s="214" t="s">
        <v>20</v>
      </c>
      <c r="D28" s="85" t="s">
        <v>1034</v>
      </c>
      <c r="E28" s="208" t="str">
        <f>HYPERLINK(D28,A28&amp;" Demo")</f>
        <v>Fonsi Nieto Deluxe Racing Life Demo</v>
      </c>
      <c r="F28" s="93">
        <v>10</v>
      </c>
      <c r="G28" s="93">
        <v>5</v>
      </c>
      <c r="H28" s="210">
        <v>0.1</v>
      </c>
      <c r="I28" s="210">
        <v>10</v>
      </c>
      <c r="J28" s="210">
        <v>1</v>
      </c>
      <c r="K28" s="259">
        <v>55000</v>
      </c>
      <c r="L28" s="211" t="s">
        <v>1016</v>
      </c>
      <c r="M28" s="87" t="s">
        <v>258</v>
      </c>
      <c r="N28" s="87" t="s">
        <v>1035</v>
      </c>
      <c r="O28" s="93" t="s">
        <v>26</v>
      </c>
      <c r="P28" s="29">
        <v>0.32469999999999999</v>
      </c>
      <c r="Q28" s="61" t="s">
        <v>27</v>
      </c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 ht="45.75">
      <c r="A29" s="7" t="s">
        <v>1036</v>
      </c>
      <c r="B29" s="118" t="s">
        <v>77</v>
      </c>
      <c r="C29" s="213" t="s">
        <v>98</v>
      </c>
      <c r="D29" s="85" t="s">
        <v>1037</v>
      </c>
      <c r="E29" s="208" t="str">
        <f>HYPERLINK(D29,A29&amp;" Demo")</f>
        <v>Gems Planet Demo</v>
      </c>
      <c r="F29" s="10">
        <v>20</v>
      </c>
      <c r="G29" s="10">
        <v>5</v>
      </c>
      <c r="H29" s="209">
        <v>0.2</v>
      </c>
      <c r="I29" s="209">
        <v>25</v>
      </c>
      <c r="J29" s="209">
        <v>1</v>
      </c>
      <c r="K29" s="143" t="s">
        <v>1038</v>
      </c>
      <c r="L29" s="87" t="s">
        <v>1027</v>
      </c>
      <c r="M29" s="87" t="s">
        <v>1039</v>
      </c>
      <c r="N29" s="87" t="s">
        <v>1029</v>
      </c>
      <c r="O29" s="10" t="s">
        <v>26</v>
      </c>
      <c r="P29" s="56">
        <v>0.30299999999999999</v>
      </c>
      <c r="Q29" s="60" t="s">
        <v>43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60.75">
      <c r="A30" s="7" t="s">
        <v>1040</v>
      </c>
      <c r="B30" s="118" t="s">
        <v>77</v>
      </c>
      <c r="C30" s="213" t="s">
        <v>98</v>
      </c>
      <c r="D30" s="85" t="s">
        <v>1041</v>
      </c>
      <c r="E30" s="208" t="str">
        <f>HYPERLINK(D30,A30&amp;" Demo")</f>
        <v>God Of Seas Demo</v>
      </c>
      <c r="F30" s="10">
        <v>20</v>
      </c>
      <c r="G30" s="10">
        <v>5</v>
      </c>
      <c r="H30" s="209">
        <v>0.25</v>
      </c>
      <c r="I30" s="209">
        <v>25</v>
      </c>
      <c r="J30" s="209">
        <v>1</v>
      </c>
      <c r="K30" s="143">
        <v>9375</v>
      </c>
      <c r="L30" s="87" t="s">
        <v>1042</v>
      </c>
      <c r="M30" s="87" t="s">
        <v>580</v>
      </c>
      <c r="N30" s="87" t="s">
        <v>1043</v>
      </c>
      <c r="O30" s="10" t="s">
        <v>26</v>
      </c>
      <c r="P30" s="56">
        <v>0.30209999999999998</v>
      </c>
      <c r="Q30" s="60" t="s">
        <v>27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30.75">
      <c r="A31" s="7" t="s">
        <v>317</v>
      </c>
      <c r="B31" s="118" t="s">
        <v>77</v>
      </c>
      <c r="C31" s="68" t="s">
        <v>20</v>
      </c>
      <c r="D31" s="85" t="s">
        <v>1044</v>
      </c>
      <c r="E31" s="208" t="str">
        <f>HYPERLINK(D31,A31&amp;" Demo")</f>
        <v>Gold Mermaid By Renata Gonzalez Demo</v>
      </c>
      <c r="F31" s="10">
        <v>10</v>
      </c>
      <c r="G31" s="10">
        <v>5</v>
      </c>
      <c r="H31" s="209">
        <v>0.1</v>
      </c>
      <c r="I31" s="209">
        <v>10</v>
      </c>
      <c r="J31" s="209">
        <v>1</v>
      </c>
      <c r="K31" s="143">
        <v>55000</v>
      </c>
      <c r="L31" s="87" t="s">
        <v>1016</v>
      </c>
      <c r="M31" s="87" t="s">
        <v>258</v>
      </c>
      <c r="N31" s="87" t="s">
        <v>1045</v>
      </c>
      <c r="O31" s="10" t="s">
        <v>26</v>
      </c>
      <c r="P31" s="56">
        <v>0.32469999999999999</v>
      </c>
      <c r="Q31" s="60" t="s">
        <v>27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spans="1:29" ht="30.75">
      <c r="A32" s="7" t="s">
        <v>319</v>
      </c>
      <c r="B32" s="118" t="s">
        <v>77</v>
      </c>
      <c r="C32" s="68" t="s">
        <v>20</v>
      </c>
      <c r="D32" s="85" t="s">
        <v>1046</v>
      </c>
      <c r="E32" s="208" t="str">
        <f>HYPERLINK(D32,A32&amp;" Demo")</f>
        <v>Gt World Challenge By Andy Soucek Demo</v>
      </c>
      <c r="F32" s="10">
        <v>10</v>
      </c>
      <c r="G32" s="10">
        <v>5</v>
      </c>
      <c r="H32" s="209">
        <v>0.1</v>
      </c>
      <c r="I32" s="209">
        <v>25</v>
      </c>
      <c r="J32" s="209">
        <v>1</v>
      </c>
      <c r="K32" s="143">
        <v>12500</v>
      </c>
      <c r="L32" s="87" t="s">
        <v>1005</v>
      </c>
      <c r="M32" s="87" t="s">
        <v>144</v>
      </c>
      <c r="N32" s="87" t="s">
        <v>1047</v>
      </c>
      <c r="O32" s="10" t="s">
        <v>26</v>
      </c>
      <c r="P32" s="56">
        <v>0.22120000000000001</v>
      </c>
      <c r="Q32" s="60" t="s">
        <v>32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30.75">
      <c r="A33" s="7" t="s">
        <v>1048</v>
      </c>
      <c r="B33" s="118" t="s">
        <v>77</v>
      </c>
      <c r="C33" s="213" t="s">
        <v>98</v>
      </c>
      <c r="D33" s="85" t="s">
        <v>1049</v>
      </c>
      <c r="E33" s="208" t="str">
        <f>HYPERLINK(D33,A33&amp;" Demo")</f>
        <v>Ice Queen Demo</v>
      </c>
      <c r="F33" s="10">
        <v>243</v>
      </c>
      <c r="G33" s="10">
        <v>5</v>
      </c>
      <c r="H33" s="209">
        <v>0.3</v>
      </c>
      <c r="I33" s="209">
        <v>6</v>
      </c>
      <c r="J33" s="209">
        <v>0.9</v>
      </c>
      <c r="K33" s="143">
        <v>14985</v>
      </c>
      <c r="L33" s="87" t="s">
        <v>984</v>
      </c>
      <c r="M33" s="87" t="s">
        <v>436</v>
      </c>
      <c r="N33" s="87" t="s">
        <v>437</v>
      </c>
      <c r="O33" s="10" t="s">
        <v>26</v>
      </c>
      <c r="P33" s="56">
        <v>0.32469999999999999</v>
      </c>
      <c r="Q33" s="60" t="s">
        <v>27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30.75">
      <c r="A34" s="7" t="s">
        <v>1050</v>
      </c>
      <c r="B34" s="118" t="s">
        <v>77</v>
      </c>
      <c r="C34" s="213" t="s">
        <v>98</v>
      </c>
      <c r="D34" s="85" t="s">
        <v>1051</v>
      </c>
      <c r="E34" s="208" t="str">
        <f>HYPERLINK(D34,A34&amp;" Demo")</f>
        <v>Jade Goddess Demo</v>
      </c>
      <c r="F34" s="10">
        <v>25</v>
      </c>
      <c r="G34" s="10">
        <v>5</v>
      </c>
      <c r="H34" s="209">
        <v>0.25</v>
      </c>
      <c r="I34" s="209">
        <v>25</v>
      </c>
      <c r="J34" s="209">
        <v>2.5</v>
      </c>
      <c r="K34" s="143">
        <v>26000</v>
      </c>
      <c r="L34" s="87" t="s">
        <v>989</v>
      </c>
      <c r="M34" s="87" t="s">
        <v>103</v>
      </c>
      <c r="N34" s="87" t="s">
        <v>1052</v>
      </c>
      <c r="O34" s="10" t="s">
        <v>26</v>
      </c>
      <c r="P34" s="56">
        <v>0.44840000000000002</v>
      </c>
      <c r="Q34" s="60" t="s">
        <v>27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30.75">
      <c r="A35" s="7" t="s">
        <v>1053</v>
      </c>
      <c r="B35" s="118" t="s">
        <v>77</v>
      </c>
      <c r="C35" s="213" t="s">
        <v>98</v>
      </c>
      <c r="D35" s="85" t="s">
        <v>1054</v>
      </c>
      <c r="E35" s="208" t="str">
        <f>HYPERLINK(D35,A35&amp;" Demo")</f>
        <v>Jaguar Quest Demo</v>
      </c>
      <c r="F35" s="10">
        <v>10</v>
      </c>
      <c r="G35" s="10">
        <v>5</v>
      </c>
      <c r="H35" s="209">
        <v>0.5</v>
      </c>
      <c r="I35" s="209">
        <v>25</v>
      </c>
      <c r="J35" s="209">
        <v>1</v>
      </c>
      <c r="K35" s="143">
        <v>37750</v>
      </c>
      <c r="L35" s="87" t="s">
        <v>1055</v>
      </c>
      <c r="M35" s="87" t="s">
        <v>306</v>
      </c>
      <c r="N35" s="87" t="s">
        <v>1056</v>
      </c>
      <c r="O35" s="10" t="s">
        <v>26</v>
      </c>
      <c r="P35" s="56">
        <v>0.38019999999999998</v>
      </c>
      <c r="Q35" s="60" t="s">
        <v>27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>
      <c r="A36" s="325" t="s">
        <v>835</v>
      </c>
      <c r="B36" s="382" t="s">
        <v>77</v>
      </c>
      <c r="C36" s="383" t="s">
        <v>98</v>
      </c>
      <c r="D36" s="363" t="s">
        <v>1057</v>
      </c>
      <c r="E36" s="349" t="s">
        <v>1058</v>
      </c>
      <c r="F36" s="334">
        <v>25</v>
      </c>
      <c r="G36" s="334">
        <v>5</v>
      </c>
      <c r="H36" s="439">
        <v>0.25</v>
      </c>
      <c r="I36" s="439">
        <v>50</v>
      </c>
      <c r="J36" s="439">
        <v>1</v>
      </c>
      <c r="K36" s="439">
        <v>52000</v>
      </c>
      <c r="L36" s="350" t="s">
        <v>209</v>
      </c>
      <c r="M36" s="334" t="s">
        <v>1059</v>
      </c>
      <c r="N36" s="334" t="s">
        <v>211</v>
      </c>
      <c r="O36" s="334" t="s">
        <v>26</v>
      </c>
      <c r="P36" s="351">
        <v>0.51549999999999996</v>
      </c>
      <c r="Q36" s="339" t="s">
        <v>43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45.75">
      <c r="A37" s="7" t="s">
        <v>335</v>
      </c>
      <c r="B37" s="118" t="s">
        <v>77</v>
      </c>
      <c r="C37" s="68" t="s">
        <v>20</v>
      </c>
      <c r="D37" s="85" t="s">
        <v>1060</v>
      </c>
      <c r="E37" s="208" t="str">
        <f>HYPERLINK(D37,A37&amp;" Demo")</f>
        <v>Jessica Weaver Queen Of The Seas Demo</v>
      </c>
      <c r="F37" s="10">
        <v>25</v>
      </c>
      <c r="G37" s="10">
        <v>5</v>
      </c>
      <c r="H37" s="209">
        <v>0.25</v>
      </c>
      <c r="I37" s="209">
        <v>25</v>
      </c>
      <c r="J37" s="209">
        <v>2.5</v>
      </c>
      <c r="K37" s="143" t="s">
        <v>1011</v>
      </c>
      <c r="L37" s="87" t="s">
        <v>989</v>
      </c>
      <c r="M37" s="87" t="s">
        <v>1012</v>
      </c>
      <c r="N37" s="87" t="s">
        <v>1013</v>
      </c>
      <c r="O37" s="10" t="s">
        <v>26</v>
      </c>
      <c r="P37" s="56">
        <v>0.4032</v>
      </c>
      <c r="Q37" s="60" t="s">
        <v>32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30.75">
      <c r="A38" s="7" t="s">
        <v>1061</v>
      </c>
      <c r="B38" s="118" t="s">
        <v>77</v>
      </c>
      <c r="C38" s="213" t="s">
        <v>98</v>
      </c>
      <c r="D38" s="85" t="s">
        <v>1062</v>
      </c>
      <c r="E38" s="208" t="str">
        <f>HYPERLINK(D38,A38&amp;" Demo")</f>
        <v>Jokers Lovers Demo</v>
      </c>
      <c r="F38" s="10">
        <v>243</v>
      </c>
      <c r="G38" s="10">
        <v>5</v>
      </c>
      <c r="H38" s="209">
        <v>0.3</v>
      </c>
      <c r="I38" s="209">
        <v>21</v>
      </c>
      <c r="J38" s="209">
        <v>0.9</v>
      </c>
      <c r="K38" s="143">
        <v>52448</v>
      </c>
      <c r="L38" s="87" t="s">
        <v>1063</v>
      </c>
      <c r="M38" s="87" t="s">
        <v>1064</v>
      </c>
      <c r="N38" s="87" t="s">
        <v>1065</v>
      </c>
      <c r="O38" s="10" t="s">
        <v>26</v>
      </c>
      <c r="P38" s="56">
        <v>0.43099999999999999</v>
      </c>
      <c r="Q38" s="60" t="s">
        <v>43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30.75">
      <c r="A39" s="7" t="s">
        <v>421</v>
      </c>
      <c r="B39" s="118" t="s">
        <v>77</v>
      </c>
      <c r="C39" s="213" t="s">
        <v>98</v>
      </c>
      <c r="D39" s="85" t="s">
        <v>1066</v>
      </c>
      <c r="E39" s="208" t="str">
        <f>HYPERLINK(D39,A39&amp;" Demo")</f>
        <v>Lucky Dragon Demo</v>
      </c>
      <c r="F39" s="10">
        <v>10</v>
      </c>
      <c r="G39" s="10">
        <v>5</v>
      </c>
      <c r="H39" s="209">
        <v>0.1</v>
      </c>
      <c r="I39" s="209">
        <v>50</v>
      </c>
      <c r="J39" s="209">
        <v>1</v>
      </c>
      <c r="K39" s="143">
        <v>25000</v>
      </c>
      <c r="L39" s="87" t="s">
        <v>1007</v>
      </c>
      <c r="M39" s="87" t="s">
        <v>144</v>
      </c>
      <c r="N39" s="87" t="s">
        <v>1067</v>
      </c>
      <c r="O39" s="10" t="s">
        <v>26</v>
      </c>
      <c r="P39" s="56">
        <v>0.22989999999999999</v>
      </c>
      <c r="Q39" s="60" t="s">
        <v>32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45.75">
      <c r="A40" s="7" t="s">
        <v>1068</v>
      </c>
      <c r="B40" s="118" t="s">
        <v>77</v>
      </c>
      <c r="C40" s="213" t="s">
        <v>98</v>
      </c>
      <c r="D40" s="85" t="s">
        <v>1069</v>
      </c>
      <c r="E40" s="208" t="str">
        <f>HYPERLINK(D40,A40&amp;" Demo")</f>
        <v>Lucky Wave Demo</v>
      </c>
      <c r="F40" s="10">
        <v>25</v>
      </c>
      <c r="G40" s="10">
        <v>5</v>
      </c>
      <c r="H40" s="209">
        <v>0.25</v>
      </c>
      <c r="I40" s="209">
        <v>25</v>
      </c>
      <c r="J40" s="209">
        <v>2.5</v>
      </c>
      <c r="K40" s="143" t="s">
        <v>1011</v>
      </c>
      <c r="L40" s="87" t="s">
        <v>989</v>
      </c>
      <c r="M40" s="87" t="s">
        <v>1012</v>
      </c>
      <c r="N40" s="87" t="s">
        <v>1013</v>
      </c>
      <c r="O40" s="10" t="s">
        <v>26</v>
      </c>
      <c r="P40" s="56">
        <v>0.39229999999999998</v>
      </c>
      <c r="Q40" s="60" t="s">
        <v>32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30.75">
      <c r="A41" s="7" t="s">
        <v>1070</v>
      </c>
      <c r="B41" s="118" t="s">
        <v>77</v>
      </c>
      <c r="C41" s="213" t="s">
        <v>98</v>
      </c>
      <c r="D41" s="85" t="s">
        <v>1071</v>
      </c>
      <c r="E41" s="208" t="str">
        <f>HYPERLINK(D41,A41&amp;" Demo")</f>
        <v>Magic Stones Demo</v>
      </c>
      <c r="F41" s="10">
        <v>10</v>
      </c>
      <c r="G41" s="10">
        <v>5</v>
      </c>
      <c r="H41" s="210">
        <v>0.1</v>
      </c>
      <c r="I41" s="209">
        <v>20</v>
      </c>
      <c r="J41" s="209">
        <v>1</v>
      </c>
      <c r="K41" s="143">
        <v>42000</v>
      </c>
      <c r="L41" s="87" t="s">
        <v>994</v>
      </c>
      <c r="M41" s="87" t="s">
        <v>61</v>
      </c>
      <c r="N41" s="87" t="s">
        <v>448</v>
      </c>
      <c r="O41" s="87" t="s">
        <v>26</v>
      </c>
      <c r="P41" s="56">
        <v>0.15939999999999999</v>
      </c>
      <c r="Q41" s="60" t="s">
        <v>43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45.75">
      <c r="A42" s="7" t="s">
        <v>1072</v>
      </c>
      <c r="B42" s="118" t="s">
        <v>77</v>
      </c>
      <c r="C42" s="213" t="s">
        <v>98</v>
      </c>
      <c r="D42" s="85" t="s">
        <v>1073</v>
      </c>
      <c r="E42" s="208" t="str">
        <f>HYPERLINK(D42,A42&amp;" Demo")</f>
        <v>Magical Lake Demo</v>
      </c>
      <c r="F42" s="10">
        <v>25</v>
      </c>
      <c r="G42" s="10">
        <v>5</v>
      </c>
      <c r="H42" s="209">
        <v>0.5</v>
      </c>
      <c r="I42" s="209">
        <v>50</v>
      </c>
      <c r="J42" s="209">
        <v>2.5</v>
      </c>
      <c r="K42" s="143" t="s">
        <v>1074</v>
      </c>
      <c r="L42" s="87" t="s">
        <v>1075</v>
      </c>
      <c r="M42" s="87" t="s">
        <v>1012</v>
      </c>
      <c r="N42" s="87" t="s">
        <v>1013</v>
      </c>
      <c r="O42" s="10" t="s">
        <v>26</v>
      </c>
      <c r="P42" s="56">
        <v>0.40160000000000001</v>
      </c>
      <c r="Q42" s="60" t="s">
        <v>32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45.75">
      <c r="A43" s="7" t="s">
        <v>1076</v>
      </c>
      <c r="B43" s="118" t="s">
        <v>77</v>
      </c>
      <c r="C43" s="213" t="s">
        <v>98</v>
      </c>
      <c r="D43" s="85" t="s">
        <v>1077</v>
      </c>
      <c r="E43" s="208" t="str">
        <f>HYPERLINK(D43,A43&amp;" Demo")</f>
        <v>Monkeys Double Pot Demo</v>
      </c>
      <c r="F43" s="10">
        <v>20</v>
      </c>
      <c r="G43" s="10">
        <v>5</v>
      </c>
      <c r="H43" s="209">
        <v>0.2</v>
      </c>
      <c r="I43" s="209">
        <v>20</v>
      </c>
      <c r="J43" s="209">
        <v>1</v>
      </c>
      <c r="K43" s="143">
        <v>42000</v>
      </c>
      <c r="L43" s="87" t="s">
        <v>1078</v>
      </c>
      <c r="M43" s="87" t="s">
        <v>61</v>
      </c>
      <c r="N43" s="87" t="s">
        <v>414</v>
      </c>
      <c r="O43" s="10" t="s">
        <v>26</v>
      </c>
      <c r="P43" s="56">
        <v>0.31545741300000002</v>
      </c>
      <c r="Q43" s="60" t="s">
        <v>27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30.75">
      <c r="A44" s="7" t="s">
        <v>1079</v>
      </c>
      <c r="B44" s="118" t="s">
        <v>77</v>
      </c>
      <c r="C44" s="213" t="s">
        <v>98</v>
      </c>
      <c r="D44" s="85" t="s">
        <v>1080</v>
      </c>
      <c r="E44" s="208" t="str">
        <f>HYPERLINK(D44,A44&amp;" Demo")</f>
        <v>Mythical Legends Carnival Demo</v>
      </c>
      <c r="F44" s="10">
        <v>25</v>
      </c>
      <c r="G44" s="10">
        <v>5</v>
      </c>
      <c r="H44" s="209">
        <v>0.25</v>
      </c>
      <c r="I44" s="209">
        <v>25</v>
      </c>
      <c r="J44" s="209">
        <v>2.5</v>
      </c>
      <c r="K44" s="143">
        <v>52500</v>
      </c>
      <c r="L44" s="87" t="s">
        <v>989</v>
      </c>
      <c r="M44" s="87" t="s">
        <v>61</v>
      </c>
      <c r="N44" s="87" t="s">
        <v>157</v>
      </c>
      <c r="O44" s="10" t="s">
        <v>26</v>
      </c>
      <c r="P44" s="56">
        <v>2.4500000000000001E-2</v>
      </c>
      <c r="Q44" s="60" t="s">
        <v>43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45.75">
      <c r="A45" s="7" t="s">
        <v>1081</v>
      </c>
      <c r="B45" s="118" t="s">
        <v>77</v>
      </c>
      <c r="C45" s="213" t="s">
        <v>98</v>
      </c>
      <c r="D45" s="85" t="s">
        <v>1082</v>
      </c>
      <c r="E45" s="208" t="str">
        <f>HYPERLINK(D45,A45&amp;" Demo")</f>
        <v>New Lands Demo</v>
      </c>
      <c r="F45" s="10">
        <v>25</v>
      </c>
      <c r="G45" s="10">
        <v>5</v>
      </c>
      <c r="H45" s="209">
        <v>0.5</v>
      </c>
      <c r="I45" s="210">
        <v>25</v>
      </c>
      <c r="J45" s="210">
        <v>1</v>
      </c>
      <c r="K45" s="143" t="s">
        <v>1083</v>
      </c>
      <c r="L45" s="87" t="s">
        <v>1084</v>
      </c>
      <c r="M45" s="87" t="s">
        <v>1085</v>
      </c>
      <c r="N45" s="87" t="s">
        <v>1086</v>
      </c>
      <c r="O45" s="10" t="s">
        <v>26</v>
      </c>
      <c r="P45" s="56">
        <v>0.4032</v>
      </c>
      <c r="Q45" s="60" t="s">
        <v>32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30.75">
      <c r="A46" s="7" t="s">
        <v>1087</v>
      </c>
      <c r="B46" s="118" t="s">
        <v>77</v>
      </c>
      <c r="C46" s="213" t="s">
        <v>98</v>
      </c>
      <c r="D46" s="85" t="s">
        <v>1088</v>
      </c>
      <c r="E46" s="208" t="str">
        <f>HYPERLINK(D46,A46&amp;" Demo")</f>
        <v>Oil Fortune Demo</v>
      </c>
      <c r="F46" s="10">
        <v>10</v>
      </c>
      <c r="G46" s="10">
        <v>5</v>
      </c>
      <c r="H46" s="209">
        <v>0.1</v>
      </c>
      <c r="I46" s="209">
        <v>25</v>
      </c>
      <c r="J46" s="209">
        <v>1</v>
      </c>
      <c r="K46" s="143">
        <v>52500</v>
      </c>
      <c r="L46" s="87" t="s">
        <v>1005</v>
      </c>
      <c r="M46" s="87" t="s">
        <v>61</v>
      </c>
      <c r="N46" s="87" t="s">
        <v>216</v>
      </c>
      <c r="O46" s="10" t="s">
        <v>26</v>
      </c>
      <c r="P46" s="56">
        <v>0.13189999999999999</v>
      </c>
      <c r="Q46" s="60" t="s">
        <v>43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30.75">
      <c r="A47" s="7" t="s">
        <v>1089</v>
      </c>
      <c r="B47" s="118" t="s">
        <v>77</v>
      </c>
      <c r="C47" s="68" t="s">
        <v>20</v>
      </c>
      <c r="D47" s="85" t="s">
        <v>1090</v>
      </c>
      <c r="E47" s="208" t="str">
        <f>HYPERLINK(D47,A47&amp;" Demo")</f>
        <v>Oktober Party Demo</v>
      </c>
      <c r="F47" s="10">
        <v>20</v>
      </c>
      <c r="G47" s="10">
        <v>5</v>
      </c>
      <c r="H47" s="209">
        <v>0.2</v>
      </c>
      <c r="I47" s="209">
        <v>25</v>
      </c>
      <c r="J47" s="209">
        <v>1</v>
      </c>
      <c r="K47" s="143" t="s">
        <v>1091</v>
      </c>
      <c r="L47" s="87" t="s">
        <v>1027</v>
      </c>
      <c r="M47" s="87" t="s">
        <v>1092</v>
      </c>
      <c r="N47" s="87" t="s">
        <v>1093</v>
      </c>
      <c r="O47" s="10" t="s">
        <v>26</v>
      </c>
      <c r="P47" s="56">
        <v>0.39529999999999998</v>
      </c>
      <c r="Q47" s="60" t="s">
        <v>43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45.75">
      <c r="A48" s="7" t="s">
        <v>891</v>
      </c>
      <c r="B48" s="118" t="s">
        <v>77</v>
      </c>
      <c r="C48" s="68" t="s">
        <v>20</v>
      </c>
      <c r="D48" s="85" t="s">
        <v>1094</v>
      </c>
      <c r="E48" s="208" t="str">
        <f>HYPERLINK(D48,A48&amp;" Demo")</f>
        <v>Paulo Futre The Last Gladiator Demo</v>
      </c>
      <c r="F48" s="93">
        <v>20</v>
      </c>
      <c r="G48" s="93">
        <v>5</v>
      </c>
      <c r="H48" s="209">
        <v>0.2</v>
      </c>
      <c r="I48" s="210">
        <v>25</v>
      </c>
      <c r="J48" s="210">
        <v>1</v>
      </c>
      <c r="K48" s="259" t="s">
        <v>1026</v>
      </c>
      <c r="L48" s="211" t="s">
        <v>1027</v>
      </c>
      <c r="M48" s="87" t="s">
        <v>1028</v>
      </c>
      <c r="N48" s="87" t="s">
        <v>1029</v>
      </c>
      <c r="O48" s="93" t="s">
        <v>26</v>
      </c>
      <c r="P48" s="29">
        <v>0.30320000000000003</v>
      </c>
      <c r="Q48" s="61" t="s">
        <v>43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30.75">
      <c r="A49" s="7" t="s">
        <v>1095</v>
      </c>
      <c r="B49" s="118" t="s">
        <v>77</v>
      </c>
      <c r="C49" s="68" t="s">
        <v>20</v>
      </c>
      <c r="D49" s="85" t="s">
        <v>1096</v>
      </c>
      <c r="E49" s="208" t="str">
        <f>HYPERLINK(D49,A49&amp;" Demo")</f>
        <v>Pharaoah's Book Demo</v>
      </c>
      <c r="F49" s="10">
        <v>243</v>
      </c>
      <c r="G49" s="10">
        <v>5</v>
      </c>
      <c r="H49" s="209">
        <v>0.3</v>
      </c>
      <c r="I49" s="209">
        <v>6</v>
      </c>
      <c r="J49" s="209">
        <v>0.9</v>
      </c>
      <c r="K49" s="143">
        <v>38100</v>
      </c>
      <c r="L49" s="87" t="s">
        <v>984</v>
      </c>
      <c r="M49" s="87" t="s">
        <v>80</v>
      </c>
      <c r="N49" s="87" t="s">
        <v>985</v>
      </c>
      <c r="O49" s="10" t="s">
        <v>26</v>
      </c>
      <c r="P49" s="56">
        <v>0.29220000000000002</v>
      </c>
      <c r="Q49" s="60" t="s">
        <v>27</v>
      </c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>
      <c r="A50" s="381" t="s">
        <v>894</v>
      </c>
      <c r="B50" s="382" t="s">
        <v>77</v>
      </c>
      <c r="C50" s="383" t="s">
        <v>98</v>
      </c>
      <c r="D50" s="386" t="s">
        <v>1097</v>
      </c>
      <c r="E50" s="349" t="s">
        <v>894</v>
      </c>
      <c r="F50" s="387">
        <v>25</v>
      </c>
      <c r="G50" s="387">
        <v>5</v>
      </c>
      <c r="H50" s="398">
        <v>0.25</v>
      </c>
      <c r="I50" s="398">
        <v>25</v>
      </c>
      <c r="J50" s="398">
        <v>1</v>
      </c>
      <c r="K50" s="398">
        <v>125000</v>
      </c>
      <c r="L50" s="387" t="s">
        <v>102</v>
      </c>
      <c r="M50" s="387" t="s">
        <v>453</v>
      </c>
      <c r="N50" s="334" t="s">
        <v>454</v>
      </c>
      <c r="O50" s="387" t="s">
        <v>26</v>
      </c>
      <c r="P50" s="387" t="s">
        <v>455</v>
      </c>
      <c r="Q50" s="393" t="s">
        <v>43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45.75">
      <c r="A51" s="7" t="s">
        <v>900</v>
      </c>
      <c r="B51" s="118" t="s">
        <v>77</v>
      </c>
      <c r="C51" s="213" t="s">
        <v>98</v>
      </c>
      <c r="D51" s="85" t="s">
        <v>1098</v>
      </c>
      <c r="E51" s="208" t="str">
        <f>HYPERLINK(D51,A51&amp;" Demo")</f>
        <v>Pirate Adventures Demo</v>
      </c>
      <c r="F51" s="38">
        <v>20</v>
      </c>
      <c r="G51" s="38">
        <v>5</v>
      </c>
      <c r="H51" s="209">
        <v>0.2</v>
      </c>
      <c r="I51" s="209">
        <v>75</v>
      </c>
      <c r="J51" s="209">
        <v>1</v>
      </c>
      <c r="K51" s="143" t="s">
        <v>1099</v>
      </c>
      <c r="L51" s="211" t="s">
        <v>1100</v>
      </c>
      <c r="M51" s="87" t="s">
        <v>1101</v>
      </c>
      <c r="N51" s="87" t="s">
        <v>1102</v>
      </c>
      <c r="O51" s="211"/>
      <c r="P51" s="56"/>
      <c r="Q51" s="60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30.75">
      <c r="A52" s="400" t="s">
        <v>1103</v>
      </c>
      <c r="B52" s="328" t="s">
        <v>77</v>
      </c>
      <c r="C52" s="331" t="s">
        <v>98</v>
      </c>
      <c r="D52" s="384" t="s">
        <v>1104</v>
      </c>
      <c r="E52" s="333" t="str">
        <f>HYPERLINK(D52,A52&amp;" Demo")</f>
        <v>Pirates Of China Demo</v>
      </c>
      <c r="F52" s="341">
        <v>20</v>
      </c>
      <c r="G52" s="341">
        <v>5</v>
      </c>
      <c r="H52" s="388">
        <v>0.2</v>
      </c>
      <c r="I52" s="388">
        <v>20</v>
      </c>
      <c r="J52" s="388">
        <v>1</v>
      </c>
      <c r="K52" s="336">
        <v>42000</v>
      </c>
      <c r="L52" s="392" t="s">
        <v>994</v>
      </c>
      <c r="M52" s="390" t="s">
        <v>61</v>
      </c>
      <c r="N52" s="390" t="s">
        <v>476</v>
      </c>
      <c r="O52" s="392" t="s">
        <v>26</v>
      </c>
      <c r="P52" s="338">
        <v>0.249</v>
      </c>
      <c r="Q52" s="401" t="s">
        <v>43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45.75">
      <c r="A53" s="7" t="s">
        <v>1105</v>
      </c>
      <c r="B53" s="118" t="s">
        <v>77</v>
      </c>
      <c r="C53" s="68" t="s">
        <v>20</v>
      </c>
      <c r="D53" s="85" t="s">
        <v>1106</v>
      </c>
      <c r="E53" s="208" t="str">
        <f>HYPERLINK(D53,A53&amp;" Demo")</f>
        <v>Planet Christmas Demo</v>
      </c>
      <c r="F53" s="10">
        <v>20</v>
      </c>
      <c r="G53" s="10">
        <v>5</v>
      </c>
      <c r="H53" s="209">
        <v>0.2</v>
      </c>
      <c r="I53" s="209">
        <v>25</v>
      </c>
      <c r="J53" s="209">
        <v>1</v>
      </c>
      <c r="K53" s="143" t="s">
        <v>1038</v>
      </c>
      <c r="L53" s="87" t="s">
        <v>1027</v>
      </c>
      <c r="M53" s="87" t="s">
        <v>1039</v>
      </c>
      <c r="N53" s="87" t="s">
        <v>1029</v>
      </c>
      <c r="O53" s="10" t="s">
        <v>26</v>
      </c>
      <c r="P53" s="56">
        <v>0.30299999999999999</v>
      </c>
      <c r="Q53" s="60" t="s">
        <v>43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30.75">
      <c r="A54" s="7" t="s">
        <v>1107</v>
      </c>
      <c r="B54" s="118" t="s">
        <v>77</v>
      </c>
      <c r="C54" s="68" t="s">
        <v>20</v>
      </c>
      <c r="D54" s="85" t="s">
        <v>1108</v>
      </c>
      <c r="E54" s="208" t="str">
        <f>HYPERLINK(D54,A54&amp;" Demo")</f>
        <v>Planet Halloween Demo</v>
      </c>
      <c r="F54" s="91">
        <v>20</v>
      </c>
      <c r="G54" s="91">
        <v>5</v>
      </c>
      <c r="H54" s="212">
        <v>0.2</v>
      </c>
      <c r="I54" s="212">
        <v>25</v>
      </c>
      <c r="J54" s="212">
        <v>1</v>
      </c>
      <c r="K54" s="261" t="s">
        <v>1091</v>
      </c>
      <c r="L54" s="260" t="s">
        <v>1027</v>
      </c>
      <c r="M54" s="87" t="s">
        <v>1092</v>
      </c>
      <c r="N54" s="260" t="s">
        <v>1093</v>
      </c>
      <c r="O54" s="91" t="s">
        <v>26</v>
      </c>
      <c r="P54" s="56">
        <v>0.30299999999999999</v>
      </c>
      <c r="Q54" s="60" t="s">
        <v>43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>
      <c r="A55" s="325" t="s">
        <v>1109</v>
      </c>
      <c r="B55" s="382" t="s">
        <v>77</v>
      </c>
      <c r="C55" s="383" t="s">
        <v>98</v>
      </c>
      <c r="D55" s="363" t="s">
        <v>1110</v>
      </c>
      <c r="E55" s="313" t="str">
        <f>HYPERLINK(D55,A55&amp;" Demo")</f>
        <v>Poseidon's Orb Demo</v>
      </c>
      <c r="F55" s="334">
        <v>10</v>
      </c>
      <c r="G55" s="334">
        <v>5</v>
      </c>
      <c r="H55" s="364">
        <v>0.1</v>
      </c>
      <c r="I55" s="364">
        <v>30</v>
      </c>
      <c r="J55" s="364">
        <v>1</v>
      </c>
      <c r="K55" s="334" t="s">
        <v>1111</v>
      </c>
      <c r="L55" s="334" t="s">
        <v>1112</v>
      </c>
      <c r="M55" s="334" t="s">
        <v>1113</v>
      </c>
      <c r="N55" s="334" t="s">
        <v>248</v>
      </c>
      <c r="O55" s="334" t="s">
        <v>26</v>
      </c>
      <c r="P55" s="351">
        <v>0.21160000000000001</v>
      </c>
      <c r="Q55" s="339" t="s">
        <v>43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30.75">
      <c r="A56" s="7" t="s">
        <v>1114</v>
      </c>
      <c r="B56" s="118" t="s">
        <v>77</v>
      </c>
      <c r="C56" s="213" t="s">
        <v>98</v>
      </c>
      <c r="D56" s="85" t="s">
        <v>1115</v>
      </c>
      <c r="E56" s="208" t="str">
        <f>HYPERLINK(D56,A56&amp;" Demo")</f>
        <v>Queen Of Persia Demo</v>
      </c>
      <c r="F56" s="10">
        <v>243</v>
      </c>
      <c r="G56" s="10">
        <v>5</v>
      </c>
      <c r="H56" s="209">
        <v>0.3</v>
      </c>
      <c r="I56" s="209">
        <v>6</v>
      </c>
      <c r="J56" s="209">
        <v>0.9</v>
      </c>
      <c r="K56" s="143">
        <v>38100</v>
      </c>
      <c r="L56" s="87" t="s">
        <v>984</v>
      </c>
      <c r="M56" s="87" t="s">
        <v>80</v>
      </c>
      <c r="N56" s="87" t="s">
        <v>985</v>
      </c>
      <c r="O56" s="10" t="s">
        <v>26</v>
      </c>
      <c r="P56" s="56">
        <v>0.29220000000000002</v>
      </c>
      <c r="Q56" s="60" t="s">
        <v>27</v>
      </c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30.75">
      <c r="A57" s="7" t="s">
        <v>1116</v>
      </c>
      <c r="B57" s="118" t="s">
        <v>77</v>
      </c>
      <c r="C57" s="213" t="s">
        <v>98</v>
      </c>
      <c r="D57" s="85" t="s">
        <v>1117</v>
      </c>
      <c r="E57" s="208" t="str">
        <f>HYPERLINK(D57,A57&amp;" Demo")</f>
        <v>Rainbow Gold Fortune Demo</v>
      </c>
      <c r="F57" s="10">
        <v>20</v>
      </c>
      <c r="G57" s="10">
        <v>5</v>
      </c>
      <c r="H57" s="209">
        <v>0.2</v>
      </c>
      <c r="I57" s="209">
        <v>25</v>
      </c>
      <c r="J57" s="209">
        <v>1</v>
      </c>
      <c r="K57" s="143">
        <v>62500</v>
      </c>
      <c r="L57" s="87" t="s">
        <v>1118</v>
      </c>
      <c r="M57" s="87" t="s">
        <v>235</v>
      </c>
      <c r="N57" s="87" t="s">
        <v>62</v>
      </c>
      <c r="O57" s="10" t="s">
        <v>26</v>
      </c>
      <c r="P57" s="56">
        <v>0.39529999999999998</v>
      </c>
      <c r="Q57" s="60" t="s">
        <v>43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45.75">
      <c r="A58" s="7" t="s">
        <v>1119</v>
      </c>
      <c r="B58" s="118" t="s">
        <v>77</v>
      </c>
      <c r="C58" s="213" t="s">
        <v>98</v>
      </c>
      <c r="D58" s="85" t="s">
        <v>1120</v>
      </c>
      <c r="E58" s="208" t="str">
        <f>HYPERLINK(D58,A58&amp;" Demo")</f>
        <v>Safari Treasure Demo</v>
      </c>
      <c r="F58" s="10">
        <v>10</v>
      </c>
      <c r="G58" s="10">
        <v>5</v>
      </c>
      <c r="H58" s="209">
        <v>0.2</v>
      </c>
      <c r="I58" s="209">
        <v>75</v>
      </c>
      <c r="J58" s="209">
        <v>1</v>
      </c>
      <c r="K58" s="143" t="s">
        <v>1121</v>
      </c>
      <c r="L58" s="87" t="s">
        <v>1122</v>
      </c>
      <c r="M58" s="87" t="s">
        <v>1123</v>
      </c>
      <c r="N58" s="87" t="s">
        <v>1124</v>
      </c>
      <c r="O58" s="10" t="s">
        <v>26</v>
      </c>
      <c r="P58" s="56">
        <v>0.34970000000000001</v>
      </c>
      <c r="Q58" s="60" t="s">
        <v>43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30.75">
      <c r="A59" s="13" t="s">
        <v>515</v>
      </c>
      <c r="B59" s="118" t="s">
        <v>77</v>
      </c>
      <c r="C59" s="214" t="s">
        <v>20</v>
      </c>
      <c r="D59" s="85" t="s">
        <v>1125</v>
      </c>
      <c r="E59" s="208" t="str">
        <f>HYPERLINK(D59,A59&amp;" Demo")</f>
        <v>Samantha Fox Demo</v>
      </c>
      <c r="F59" s="93">
        <v>243</v>
      </c>
      <c r="G59" s="93">
        <v>5</v>
      </c>
      <c r="H59" s="210">
        <v>0.25</v>
      </c>
      <c r="I59" s="210">
        <v>25</v>
      </c>
      <c r="J59" s="210">
        <v>2.5</v>
      </c>
      <c r="K59" s="259">
        <v>27000</v>
      </c>
      <c r="L59" s="211" t="s">
        <v>989</v>
      </c>
      <c r="M59" s="87" t="s">
        <v>147</v>
      </c>
      <c r="N59" s="87" t="s">
        <v>517</v>
      </c>
      <c r="O59" s="93" t="s">
        <v>26</v>
      </c>
      <c r="P59" s="29">
        <v>0.30209999999999998</v>
      </c>
      <c r="Q59" s="61" t="s">
        <v>43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45.75">
      <c r="A60" s="7" t="s">
        <v>520</v>
      </c>
      <c r="B60" s="118" t="s">
        <v>77</v>
      </c>
      <c r="C60" s="214" t="s">
        <v>20</v>
      </c>
      <c r="D60" s="85" t="s">
        <v>1126</v>
      </c>
      <c r="E60" s="208" t="str">
        <f>HYPERLINK(D60,A60&amp;" Demo")</f>
        <v>Sandro Rey Demo</v>
      </c>
      <c r="F60" s="93">
        <v>20</v>
      </c>
      <c r="G60" s="93">
        <v>5</v>
      </c>
      <c r="H60" s="209">
        <v>0.2</v>
      </c>
      <c r="I60" s="210">
        <v>25</v>
      </c>
      <c r="J60" s="210">
        <v>1</v>
      </c>
      <c r="K60" s="259" t="s">
        <v>1127</v>
      </c>
      <c r="L60" s="87" t="s">
        <v>1027</v>
      </c>
      <c r="M60" s="87" t="s">
        <v>1101</v>
      </c>
      <c r="N60" s="51" t="s">
        <v>1102</v>
      </c>
      <c r="O60" s="10" t="s">
        <v>26</v>
      </c>
      <c r="P60" s="29">
        <v>0.34989999999999999</v>
      </c>
      <c r="Q60" s="61" t="s">
        <v>43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30.75">
      <c r="A61" s="7" t="s">
        <v>1128</v>
      </c>
      <c r="B61" s="118" t="s">
        <v>77</v>
      </c>
      <c r="C61" s="213" t="s">
        <v>98</v>
      </c>
      <c r="D61" s="85" t="s">
        <v>1129</v>
      </c>
      <c r="E61" s="208" t="str">
        <f>HYPERLINK(D61,A61&amp;" Demo")</f>
        <v>Silver Stake Demo</v>
      </c>
      <c r="F61" s="10">
        <v>10</v>
      </c>
      <c r="G61" s="10">
        <v>5</v>
      </c>
      <c r="H61" s="209">
        <v>0.1</v>
      </c>
      <c r="I61" s="209">
        <v>10</v>
      </c>
      <c r="J61" s="209">
        <v>1</v>
      </c>
      <c r="K61" s="143">
        <v>55000</v>
      </c>
      <c r="L61" s="87" t="s">
        <v>1016</v>
      </c>
      <c r="M61" s="87" t="s">
        <v>258</v>
      </c>
      <c r="N61" s="87" t="s">
        <v>1045</v>
      </c>
      <c r="O61" s="10" t="s">
        <v>26</v>
      </c>
      <c r="P61" s="56">
        <v>0.32469999999999999</v>
      </c>
      <c r="Q61" s="60" t="s">
        <v>27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30.75">
      <c r="A62" s="7" t="s">
        <v>1130</v>
      </c>
      <c r="B62" s="118" t="s">
        <v>77</v>
      </c>
      <c r="C62" s="68" t="s">
        <v>20</v>
      </c>
      <c r="D62" s="85" t="s">
        <v>1131</v>
      </c>
      <c r="E62" s="208" t="str">
        <f>HYPERLINK(D62,A62&amp;" Demo")</f>
        <v>The Explosive Bandit Demo</v>
      </c>
      <c r="F62" s="10">
        <v>10</v>
      </c>
      <c r="G62" s="10">
        <v>5</v>
      </c>
      <c r="H62" s="209">
        <v>0.1</v>
      </c>
      <c r="I62" s="210">
        <v>25</v>
      </c>
      <c r="J62" s="210">
        <v>1</v>
      </c>
      <c r="K62" s="143">
        <v>52500</v>
      </c>
      <c r="L62" s="87" t="s">
        <v>1005</v>
      </c>
      <c r="M62" s="87" t="s">
        <v>61</v>
      </c>
      <c r="N62" s="87" t="s">
        <v>216</v>
      </c>
      <c r="O62" s="10" t="s">
        <v>26</v>
      </c>
      <c r="P62" s="56">
        <v>0.13189999999999999</v>
      </c>
      <c r="Q62" s="60" t="s">
        <v>43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30.75">
      <c r="A63" s="7" t="s">
        <v>1132</v>
      </c>
      <c r="B63" s="118" t="s">
        <v>77</v>
      </c>
      <c r="C63" s="213" t="s">
        <v>20</v>
      </c>
      <c r="D63" s="85" t="s">
        <v>1133</v>
      </c>
      <c r="E63" s="208" t="str">
        <f>HYPERLINK(D63,A63&amp;" Demo")</f>
        <v>The Explosive Bandit 2 Demo</v>
      </c>
      <c r="F63" s="10">
        <v>10</v>
      </c>
      <c r="G63" s="10">
        <v>5</v>
      </c>
      <c r="H63" s="209">
        <v>0.1</v>
      </c>
      <c r="I63" s="210">
        <v>20</v>
      </c>
      <c r="J63" s="210">
        <v>1</v>
      </c>
      <c r="K63" s="143">
        <v>42000</v>
      </c>
      <c r="L63" s="211" t="s">
        <v>1134</v>
      </c>
      <c r="M63" s="87" t="s">
        <v>61</v>
      </c>
      <c r="N63" s="211" t="s">
        <v>220</v>
      </c>
      <c r="O63" s="93" t="s">
        <v>26</v>
      </c>
      <c r="P63" s="56">
        <v>0.13189999999999999</v>
      </c>
      <c r="Q63" s="60" t="s">
        <v>43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s="36" customFormat="1" ht="30.75">
      <c r="A64" s="400" t="s">
        <v>1135</v>
      </c>
      <c r="B64" s="328" t="s">
        <v>77</v>
      </c>
      <c r="C64" s="331" t="s">
        <v>98</v>
      </c>
      <c r="D64" s="384" t="s">
        <v>1136</v>
      </c>
      <c r="E64" s="333" t="str">
        <f>HYPERLINK(D64,A64&amp;" Demo")</f>
        <v>The Explosive Wizard Cat Demo</v>
      </c>
      <c r="F64" s="341">
        <v>10</v>
      </c>
      <c r="G64" s="341">
        <v>5</v>
      </c>
      <c r="H64" s="388">
        <v>0.1</v>
      </c>
      <c r="I64" s="388">
        <v>25</v>
      </c>
      <c r="J64" s="388">
        <v>1</v>
      </c>
      <c r="K64" s="336">
        <v>52500</v>
      </c>
      <c r="L64" s="390" t="s">
        <v>1137</v>
      </c>
      <c r="M64" s="390" t="s">
        <v>61</v>
      </c>
      <c r="N64" s="390" t="s">
        <v>216</v>
      </c>
      <c r="O64" s="341" t="s">
        <v>26</v>
      </c>
      <c r="P64" s="338">
        <v>0.15909999999999999</v>
      </c>
      <c r="Q64" s="401" t="s">
        <v>43</v>
      </c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</row>
    <row r="65" spans="1:29" ht="45.75">
      <c r="A65" s="7" t="s">
        <v>1138</v>
      </c>
      <c r="B65" s="118" t="s">
        <v>77</v>
      </c>
      <c r="C65" s="213" t="s">
        <v>98</v>
      </c>
      <c r="D65" s="85" t="s">
        <v>1139</v>
      </c>
      <c r="E65" s="208" t="str">
        <f>HYPERLINK(D65,A65&amp;" Demo")</f>
        <v>The Great King's Crown Demo</v>
      </c>
      <c r="F65" s="10">
        <v>25</v>
      </c>
      <c r="G65" s="10">
        <v>5</v>
      </c>
      <c r="H65" s="209">
        <v>0.5</v>
      </c>
      <c r="I65" s="209">
        <v>50</v>
      </c>
      <c r="J65" s="209">
        <v>2.5</v>
      </c>
      <c r="K65" s="143" t="s">
        <v>1140</v>
      </c>
      <c r="L65" s="87" t="s">
        <v>1075</v>
      </c>
      <c r="M65" s="87" t="s">
        <v>1141</v>
      </c>
      <c r="N65" s="87" t="s">
        <v>1086</v>
      </c>
      <c r="O65" s="10" t="s">
        <v>26</v>
      </c>
      <c r="P65" s="56">
        <v>0.4032</v>
      </c>
      <c r="Q65" s="60" t="s">
        <v>32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30.75">
      <c r="A66" s="7" t="s">
        <v>1142</v>
      </c>
      <c r="B66" s="118" t="s">
        <v>77</v>
      </c>
      <c r="C66" s="68" t="s">
        <v>20</v>
      </c>
      <c r="D66" s="85" t="s">
        <v>1143</v>
      </c>
      <c r="E66" s="208" t="str">
        <f>HYPERLINK(D66,A66&amp;" Demo")</f>
        <v>The Three Forces Of El Dorado Demo</v>
      </c>
      <c r="F66" s="10" t="s">
        <v>571</v>
      </c>
      <c r="G66" s="10">
        <v>5</v>
      </c>
      <c r="H66" s="209">
        <v>0.2</v>
      </c>
      <c r="I66" s="209">
        <v>6</v>
      </c>
      <c r="J66" s="209">
        <v>1</v>
      </c>
      <c r="K66" s="143">
        <v>60000</v>
      </c>
      <c r="L66" s="87" t="s">
        <v>1144</v>
      </c>
      <c r="M66" s="87" t="s">
        <v>397</v>
      </c>
      <c r="N66" s="87" t="s">
        <v>398</v>
      </c>
      <c r="O66" s="10" t="s">
        <v>26</v>
      </c>
      <c r="P66" s="56">
        <v>0.30299999999999999</v>
      </c>
      <c r="Q66" s="60" t="s">
        <v>399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30.75">
      <c r="A67" s="7" t="s">
        <v>1145</v>
      </c>
      <c r="B67" s="118" t="s">
        <v>77</v>
      </c>
      <c r="C67" s="213" t="s">
        <v>98</v>
      </c>
      <c r="D67" s="85" t="s">
        <v>1146</v>
      </c>
      <c r="E67" s="208" t="str">
        <f>HYPERLINK(D67,A67&amp;" Demo")</f>
        <v>The Wizard Cat Demo</v>
      </c>
      <c r="F67" s="10">
        <v>20</v>
      </c>
      <c r="G67" s="10">
        <v>5</v>
      </c>
      <c r="H67" s="209">
        <v>0.2</v>
      </c>
      <c r="I67" s="209">
        <v>25</v>
      </c>
      <c r="J67" s="209">
        <v>1</v>
      </c>
      <c r="K67" s="143">
        <v>62500</v>
      </c>
      <c r="L67" s="87" t="s">
        <v>1027</v>
      </c>
      <c r="M67" s="87" t="s">
        <v>235</v>
      </c>
      <c r="N67" s="87" t="s">
        <v>62</v>
      </c>
      <c r="O67" s="10" t="s">
        <v>26</v>
      </c>
      <c r="P67" s="56">
        <v>0.39529999999999998</v>
      </c>
      <c r="Q67" s="60" t="s">
        <v>43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30.75">
      <c r="A68" s="7" t="s">
        <v>1147</v>
      </c>
      <c r="B68" s="118" t="s">
        <v>77</v>
      </c>
      <c r="C68" s="213" t="s">
        <v>98</v>
      </c>
      <c r="D68" s="85" t="s">
        <v>1148</v>
      </c>
      <c r="E68" s="208" t="str">
        <f>HYPERLINK(D68,A68&amp;" Demo")</f>
        <v>Tropical Beach Demo</v>
      </c>
      <c r="F68" s="10">
        <v>10</v>
      </c>
      <c r="G68" s="10">
        <v>5</v>
      </c>
      <c r="H68" s="209">
        <v>0.3</v>
      </c>
      <c r="I68" s="209">
        <v>20</v>
      </c>
      <c r="J68" s="209">
        <v>1</v>
      </c>
      <c r="K68" s="143">
        <v>60000</v>
      </c>
      <c r="L68" s="87" t="s">
        <v>1149</v>
      </c>
      <c r="M68" s="87" t="s">
        <v>1150</v>
      </c>
      <c r="N68" s="87" t="s">
        <v>1151</v>
      </c>
      <c r="O68" s="10" t="s">
        <v>26</v>
      </c>
      <c r="P68" s="56">
        <v>0.3236</v>
      </c>
      <c r="Q68" s="60" t="s">
        <v>43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30.75">
      <c r="A69" s="400" t="s">
        <v>1152</v>
      </c>
      <c r="B69" s="328" t="s">
        <v>77</v>
      </c>
      <c r="C69" s="331" t="s">
        <v>98</v>
      </c>
      <c r="D69" s="384" t="s">
        <v>1153</v>
      </c>
      <c r="E69" s="333" t="str">
        <f>HYPERLINK(D69,A69&amp;" Demo")</f>
        <v>Undersea Diamonds Demo</v>
      </c>
      <c r="F69" s="341">
        <v>243</v>
      </c>
      <c r="G69" s="341">
        <v>5</v>
      </c>
      <c r="H69" s="388">
        <v>0.3</v>
      </c>
      <c r="I69" s="388">
        <v>21</v>
      </c>
      <c r="J69" s="388">
        <v>0.9</v>
      </c>
      <c r="K69" s="336">
        <v>52448</v>
      </c>
      <c r="L69" s="390" t="s">
        <v>1154</v>
      </c>
      <c r="M69" s="390" t="s">
        <v>1155</v>
      </c>
      <c r="N69" s="390" t="s">
        <v>1156</v>
      </c>
      <c r="O69" s="341" t="s">
        <v>26</v>
      </c>
      <c r="P69" s="338">
        <v>0.32469999999999999</v>
      </c>
      <c r="Q69" s="401" t="s">
        <v>27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30.75">
      <c r="A70" s="402" t="s">
        <v>1157</v>
      </c>
      <c r="B70" s="327" t="s">
        <v>77</v>
      </c>
      <c r="C70" s="330" t="s">
        <v>98</v>
      </c>
      <c r="D70" s="385" t="s">
        <v>1158</v>
      </c>
      <c r="E70" s="332" t="str">
        <f>HYPERLINK(D70,A70&amp;" Demo")</f>
        <v>Viking's Map Demo</v>
      </c>
      <c r="F70" s="340">
        <v>243</v>
      </c>
      <c r="G70" s="340">
        <v>5</v>
      </c>
      <c r="H70" s="389">
        <v>0.3</v>
      </c>
      <c r="I70" s="389">
        <v>6</v>
      </c>
      <c r="J70" s="389">
        <v>0.9</v>
      </c>
      <c r="K70" s="335">
        <v>14985</v>
      </c>
      <c r="L70" s="391" t="s">
        <v>984</v>
      </c>
      <c r="M70" s="391" t="s">
        <v>436</v>
      </c>
      <c r="N70" s="391" t="s">
        <v>437</v>
      </c>
      <c r="O70" s="340" t="s">
        <v>26</v>
      </c>
      <c r="P70" s="337">
        <v>0.3236</v>
      </c>
      <c r="Q70" s="403" t="s">
        <v>43</v>
      </c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76.5">
      <c r="A71" s="7" t="s">
        <v>1159</v>
      </c>
      <c r="B71" s="118" t="s">
        <v>77</v>
      </c>
      <c r="C71" s="68" t="s">
        <v>20</v>
      </c>
      <c r="D71" s="85" t="s">
        <v>1160</v>
      </c>
      <c r="E71" s="208" t="str">
        <f>HYPERLINK(D71,A71&amp;" Demo")</f>
        <v>Viking's Conquest Demo</v>
      </c>
      <c r="F71" s="10">
        <v>10</v>
      </c>
      <c r="G71" s="10">
        <v>5</v>
      </c>
      <c r="H71" s="209">
        <v>0.1</v>
      </c>
      <c r="I71" s="209">
        <v>25</v>
      </c>
      <c r="J71" s="209">
        <v>1</v>
      </c>
      <c r="K71" s="143" t="s">
        <v>1161</v>
      </c>
      <c r="L71" s="87" t="s">
        <v>1005</v>
      </c>
      <c r="M71" s="87" t="s">
        <v>1162</v>
      </c>
      <c r="N71" s="87" t="s">
        <v>1163</v>
      </c>
      <c r="O71" s="10" t="s">
        <v>26</v>
      </c>
      <c r="P71" s="56">
        <v>0.22120000000000001</v>
      </c>
      <c r="Q71" s="60" t="s">
        <v>32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30.75">
      <c r="A72" s="7" t="s">
        <v>1164</v>
      </c>
      <c r="B72" s="118" t="s">
        <v>77</v>
      </c>
      <c r="C72" s="213" t="s">
        <v>98</v>
      </c>
      <c r="D72" s="85" t="s">
        <v>1165</v>
      </c>
      <c r="E72" s="208" t="str">
        <f>HYPERLINK(D72,A72&amp;" Demo")</f>
        <v>Waikiki Goddess Demo</v>
      </c>
      <c r="F72" s="10">
        <v>10</v>
      </c>
      <c r="G72" s="10">
        <v>5</v>
      </c>
      <c r="H72" s="210">
        <v>0.1</v>
      </c>
      <c r="I72" s="210">
        <v>25</v>
      </c>
      <c r="J72" s="210">
        <v>1</v>
      </c>
      <c r="K72" s="259">
        <v>26800</v>
      </c>
      <c r="L72" s="211" t="s">
        <v>1005</v>
      </c>
      <c r="M72" s="87" t="s">
        <v>348</v>
      </c>
      <c r="N72" s="87" t="s">
        <v>307</v>
      </c>
      <c r="O72" s="93" t="s">
        <v>26</v>
      </c>
      <c r="P72" s="56">
        <v>0.32469999999999999</v>
      </c>
      <c r="Q72" s="60" t="s">
        <v>32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30.75">
      <c r="A73" s="7" t="s">
        <v>552</v>
      </c>
      <c r="B73" s="118" t="s">
        <v>77</v>
      </c>
      <c r="C73" s="213" t="s">
        <v>98</v>
      </c>
      <c r="D73" s="85" t="s">
        <v>1166</v>
      </c>
      <c r="E73" s="208" t="str">
        <f>HYPERLINK(D73,A73&amp;" Demo")</f>
        <v>Wild Africa Demo</v>
      </c>
      <c r="F73" s="10">
        <v>20</v>
      </c>
      <c r="G73" s="10">
        <v>5</v>
      </c>
      <c r="H73" s="209">
        <v>0.2</v>
      </c>
      <c r="I73" s="209">
        <v>25</v>
      </c>
      <c r="J73" s="209">
        <v>1</v>
      </c>
      <c r="K73" s="143">
        <v>18750</v>
      </c>
      <c r="L73" s="87" t="s">
        <v>1167</v>
      </c>
      <c r="M73" s="87" t="s">
        <v>127</v>
      </c>
      <c r="N73" s="87" t="s">
        <v>1168</v>
      </c>
      <c r="O73" s="10" t="s">
        <v>26</v>
      </c>
      <c r="P73" s="56">
        <v>0.41670000000000001</v>
      </c>
      <c r="Q73" s="60" t="s">
        <v>43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30.75">
      <c r="A74" s="7" t="s">
        <v>1169</v>
      </c>
      <c r="B74" s="118" t="s">
        <v>77</v>
      </c>
      <c r="C74" s="213" t="s">
        <v>98</v>
      </c>
      <c r="D74" s="85" t="s">
        <v>1170</v>
      </c>
      <c r="E74" s="208" t="str">
        <f>HYPERLINK(D74,A74&amp;" Demo")</f>
        <v>Wild Snow Spin Demo</v>
      </c>
      <c r="F74" s="10">
        <v>10</v>
      </c>
      <c r="G74" s="10">
        <v>5</v>
      </c>
      <c r="H74" s="209">
        <v>0.1</v>
      </c>
      <c r="I74" s="209">
        <v>20</v>
      </c>
      <c r="J74" s="209">
        <v>1</v>
      </c>
      <c r="K74" s="143">
        <v>42000</v>
      </c>
      <c r="L74" s="87" t="s">
        <v>994</v>
      </c>
      <c r="M74" s="87" t="s">
        <v>61</v>
      </c>
      <c r="N74" s="87" t="s">
        <v>1171</v>
      </c>
      <c r="O74" s="10" t="s">
        <v>26</v>
      </c>
      <c r="P74" s="56">
        <v>8.72E-2</v>
      </c>
      <c r="Q74" s="60" t="s">
        <v>43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30.75">
      <c r="A75" s="7" t="s">
        <v>1172</v>
      </c>
      <c r="B75" s="118" t="s">
        <v>77</v>
      </c>
      <c r="C75" s="213" t="s">
        <v>98</v>
      </c>
      <c r="D75" s="85" t="s">
        <v>1173</v>
      </c>
      <c r="E75" s="208" t="str">
        <f>HYPERLINK(D75,A75&amp;" Demo")</f>
        <v>Wild Wonderful Fairy Demo</v>
      </c>
      <c r="F75" s="10">
        <v>10</v>
      </c>
      <c r="G75" s="10">
        <v>5</v>
      </c>
      <c r="H75" s="209">
        <v>0.1</v>
      </c>
      <c r="I75" s="209">
        <v>20</v>
      </c>
      <c r="J75" s="209">
        <v>1</v>
      </c>
      <c r="K75" s="143">
        <v>60000</v>
      </c>
      <c r="L75" s="87" t="s">
        <v>1149</v>
      </c>
      <c r="M75" s="87" t="s">
        <v>1150</v>
      </c>
      <c r="N75" s="87" t="s">
        <v>1151</v>
      </c>
      <c r="O75" s="10" t="s">
        <v>26</v>
      </c>
      <c r="P75" s="56">
        <v>0.3236</v>
      </c>
      <c r="Q75" s="60" t="s">
        <v>43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30.75">
      <c r="A76" s="13" t="s">
        <v>563</v>
      </c>
      <c r="B76" s="118" t="s">
        <v>77</v>
      </c>
      <c r="C76" s="68" t="s">
        <v>20</v>
      </c>
      <c r="D76" s="85" t="s">
        <v>1174</v>
      </c>
      <c r="E76" s="208" t="str">
        <f>HYPERLINK(D76,A76&amp;" Demo")</f>
        <v>Yola Berrocal Wild West Demo</v>
      </c>
      <c r="F76" s="93">
        <v>10</v>
      </c>
      <c r="G76" s="93">
        <v>5</v>
      </c>
      <c r="H76" s="210">
        <v>0.1</v>
      </c>
      <c r="I76" s="210">
        <v>10</v>
      </c>
      <c r="J76" s="210">
        <v>1</v>
      </c>
      <c r="K76" s="259">
        <v>55000</v>
      </c>
      <c r="L76" s="211" t="s">
        <v>1016</v>
      </c>
      <c r="M76" s="87" t="s">
        <v>258</v>
      </c>
      <c r="N76" s="87" t="s">
        <v>565</v>
      </c>
      <c r="O76" s="93" t="s">
        <v>26</v>
      </c>
      <c r="P76" s="29">
        <v>0.32469999999999999</v>
      </c>
      <c r="Q76" s="61" t="s">
        <v>27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30.75">
      <c r="A77" s="21" t="s">
        <v>1175</v>
      </c>
      <c r="B77" s="404" t="s">
        <v>77</v>
      </c>
      <c r="C77" s="405" t="s">
        <v>98</v>
      </c>
      <c r="D77" s="158" t="s">
        <v>1176</v>
      </c>
      <c r="E77" s="217" t="str">
        <f>HYPERLINK(D77,A77&amp;" Demo")</f>
        <v>Zeus´ Olympus Demo</v>
      </c>
      <c r="F77" s="23">
        <v>25</v>
      </c>
      <c r="G77" s="23">
        <v>5</v>
      </c>
      <c r="H77" s="218">
        <v>0.25</v>
      </c>
      <c r="I77" s="218">
        <v>25</v>
      </c>
      <c r="J77" s="218">
        <v>2.5</v>
      </c>
      <c r="K77" s="242">
        <v>52500</v>
      </c>
      <c r="L77" s="247" t="s">
        <v>989</v>
      </c>
      <c r="M77" s="247" t="s">
        <v>61</v>
      </c>
      <c r="N77" s="247" t="s">
        <v>1177</v>
      </c>
      <c r="O77" s="23" t="s">
        <v>26</v>
      </c>
      <c r="P77" s="58">
        <v>0.2036</v>
      </c>
      <c r="Q77" s="63" t="s">
        <v>32</v>
      </c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30.75">
      <c r="A78" s="25" t="s">
        <v>1178</v>
      </c>
      <c r="B78" s="395" t="s">
        <v>569</v>
      </c>
      <c r="C78" s="396" t="s">
        <v>98</v>
      </c>
      <c r="D78" s="250" t="s">
        <v>1179</v>
      </c>
      <c r="E78" s="245" t="str">
        <f t="shared" ref="E71:E102" si="1">HYPERLINK(D78,A78&amp;" Demo")</f>
        <v>Arabian Demo</v>
      </c>
      <c r="F78" s="27" t="s">
        <v>571</v>
      </c>
      <c r="G78" s="27" t="s">
        <v>571</v>
      </c>
      <c r="H78" s="251">
        <v>0.08</v>
      </c>
      <c r="I78" s="251">
        <v>30</v>
      </c>
      <c r="J78" s="251">
        <v>0.2</v>
      </c>
      <c r="K78" s="243">
        <v>18750</v>
      </c>
      <c r="L78" s="252" t="s">
        <v>1180</v>
      </c>
      <c r="M78" s="252" t="s">
        <v>573</v>
      </c>
      <c r="N78" s="252" t="s">
        <v>574</v>
      </c>
      <c r="O78" s="27" t="s">
        <v>26</v>
      </c>
      <c r="P78" s="55">
        <v>0.5464</v>
      </c>
      <c r="Q78" s="59" t="s">
        <v>43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30.75">
      <c r="A79" s="7" t="s">
        <v>575</v>
      </c>
      <c r="B79" s="119" t="s">
        <v>569</v>
      </c>
      <c r="C79" s="213" t="s">
        <v>98</v>
      </c>
      <c r="D79" s="85" t="s">
        <v>1181</v>
      </c>
      <c r="E79" s="208" t="str">
        <f t="shared" si="1"/>
        <v>Beach Bingo Demo</v>
      </c>
      <c r="F79" s="10" t="s">
        <v>571</v>
      </c>
      <c r="G79" s="10" t="s">
        <v>571</v>
      </c>
      <c r="H79" s="209">
        <v>0.08</v>
      </c>
      <c r="I79" s="209">
        <v>30</v>
      </c>
      <c r="J79" s="209">
        <v>0.2</v>
      </c>
      <c r="K79" s="143">
        <v>22500</v>
      </c>
      <c r="L79" s="87" t="s">
        <v>1180</v>
      </c>
      <c r="M79" s="87" t="s">
        <v>127</v>
      </c>
      <c r="N79" s="87" t="s">
        <v>577</v>
      </c>
      <c r="O79" s="10" t="s">
        <v>26</v>
      </c>
      <c r="P79" s="56">
        <v>0.47389999999999999</v>
      </c>
      <c r="Q79" s="60" t="s">
        <v>43</v>
      </c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30.75">
      <c r="A80" s="7" t="s">
        <v>1182</v>
      </c>
      <c r="B80" s="119" t="s">
        <v>569</v>
      </c>
      <c r="C80" s="213" t="s">
        <v>98</v>
      </c>
      <c r="D80" s="85" t="s">
        <v>1183</v>
      </c>
      <c r="E80" s="208" t="str">
        <f t="shared" si="1"/>
        <v>Bicho Farm Demo</v>
      </c>
      <c r="F80" s="10" t="s">
        <v>571</v>
      </c>
      <c r="G80" s="10" t="s">
        <v>571</v>
      </c>
      <c r="H80" s="209">
        <v>0.08</v>
      </c>
      <c r="I80" s="209">
        <v>30</v>
      </c>
      <c r="J80" s="209">
        <v>0.2</v>
      </c>
      <c r="K80" s="143">
        <v>11250</v>
      </c>
      <c r="L80" s="87" t="s">
        <v>1180</v>
      </c>
      <c r="M80" s="87" t="s">
        <v>580</v>
      </c>
      <c r="N80" s="87" t="s">
        <v>581</v>
      </c>
      <c r="O80" s="10" t="s">
        <v>26</v>
      </c>
      <c r="P80" s="56">
        <v>0.72989999999999999</v>
      </c>
      <c r="Q80" s="60" t="s">
        <v>43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30.75">
      <c r="A81" s="7" t="s">
        <v>1184</v>
      </c>
      <c r="B81" s="119" t="s">
        <v>569</v>
      </c>
      <c r="C81" s="213" t="s">
        <v>98</v>
      </c>
      <c r="D81" s="85" t="s">
        <v>1185</v>
      </c>
      <c r="E81" s="208" t="str">
        <f t="shared" si="1"/>
        <v>Bikers Demo</v>
      </c>
      <c r="F81" s="10" t="s">
        <v>571</v>
      </c>
      <c r="G81" s="10" t="s">
        <v>571</v>
      </c>
      <c r="H81" s="209">
        <v>0.08</v>
      </c>
      <c r="I81" s="209">
        <v>30</v>
      </c>
      <c r="J81" s="209">
        <v>0.2</v>
      </c>
      <c r="K81" s="143">
        <v>11250</v>
      </c>
      <c r="L81" s="87" t="s">
        <v>1180</v>
      </c>
      <c r="M81" s="87" t="s">
        <v>580</v>
      </c>
      <c r="N81" s="87" t="s">
        <v>584</v>
      </c>
      <c r="O81" s="10" t="s">
        <v>26</v>
      </c>
      <c r="P81" s="56">
        <v>0.52629999999999999</v>
      </c>
      <c r="Q81" s="60" t="s">
        <v>43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30.75">
      <c r="A82" s="7" t="s">
        <v>1186</v>
      </c>
      <c r="B82" s="119" t="s">
        <v>569</v>
      </c>
      <c r="C82" s="213" t="s">
        <v>98</v>
      </c>
      <c r="D82" s="85" t="s">
        <v>1187</v>
      </c>
      <c r="E82" s="208" t="str">
        <f t="shared" si="1"/>
        <v>Buffalo Demo</v>
      </c>
      <c r="F82" s="10" t="s">
        <v>571</v>
      </c>
      <c r="G82" s="10" t="s">
        <v>571</v>
      </c>
      <c r="H82" s="209">
        <v>0.08</v>
      </c>
      <c r="I82" s="209">
        <v>30</v>
      </c>
      <c r="J82" s="209">
        <v>0.2</v>
      </c>
      <c r="K82" s="143">
        <v>18750</v>
      </c>
      <c r="L82" s="87" t="s">
        <v>1180</v>
      </c>
      <c r="M82" s="87" t="s">
        <v>573</v>
      </c>
      <c r="N82" s="87" t="s">
        <v>587</v>
      </c>
      <c r="O82" s="10" t="s">
        <v>26</v>
      </c>
      <c r="P82" s="56">
        <v>0.52</v>
      </c>
      <c r="Q82" s="60" t="s">
        <v>27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30.75">
      <c r="A83" s="7" t="s">
        <v>588</v>
      </c>
      <c r="B83" s="119" t="s">
        <v>569</v>
      </c>
      <c r="C83" s="213" t="s">
        <v>98</v>
      </c>
      <c r="D83" s="85" t="s">
        <v>1188</v>
      </c>
      <c r="E83" s="208" t="str">
        <f t="shared" si="1"/>
        <v>Calaca Party Bingo Demo</v>
      </c>
      <c r="F83" s="10" t="s">
        <v>571</v>
      </c>
      <c r="G83" s="10" t="s">
        <v>571</v>
      </c>
      <c r="H83" s="209">
        <v>0.08</v>
      </c>
      <c r="I83" s="209">
        <v>30</v>
      </c>
      <c r="J83" s="209">
        <v>0.2</v>
      </c>
      <c r="K83" s="143">
        <v>15000</v>
      </c>
      <c r="L83" s="270" t="s">
        <v>1180</v>
      </c>
      <c r="M83" s="87" t="s">
        <v>144</v>
      </c>
      <c r="N83" s="270">
        <v>0.90610000000000002</v>
      </c>
      <c r="O83" s="56" t="s">
        <v>26</v>
      </c>
      <c r="P83" s="56">
        <v>8.9200000000000002E-2</v>
      </c>
      <c r="Q83" s="60" t="s">
        <v>43</v>
      </c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30.75">
      <c r="A84" s="7" t="s">
        <v>590</v>
      </c>
      <c r="B84" s="119" t="s">
        <v>569</v>
      </c>
      <c r="C84" s="213" t="s">
        <v>98</v>
      </c>
      <c r="D84" s="85" t="s">
        <v>1189</v>
      </c>
      <c r="E84" s="208" t="str">
        <f t="shared" si="1"/>
        <v>Candy Bingo Demo</v>
      </c>
      <c r="F84" s="10" t="s">
        <v>571</v>
      </c>
      <c r="G84" s="10" t="s">
        <v>571</v>
      </c>
      <c r="H84" s="209">
        <v>0.08</v>
      </c>
      <c r="I84" s="209">
        <v>30</v>
      </c>
      <c r="J84" s="209">
        <v>0.2</v>
      </c>
      <c r="K84" s="143">
        <v>15000</v>
      </c>
      <c r="L84" s="87" t="s">
        <v>1180</v>
      </c>
      <c r="M84" s="87" t="s">
        <v>144</v>
      </c>
      <c r="N84" s="87" t="s">
        <v>592</v>
      </c>
      <c r="O84" s="10" t="s">
        <v>26</v>
      </c>
      <c r="P84" s="56">
        <v>0.48080000000000001</v>
      </c>
      <c r="Q84" s="60" t="s">
        <v>43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30.75">
      <c r="A85" s="7" t="s">
        <v>593</v>
      </c>
      <c r="B85" s="119" t="s">
        <v>569</v>
      </c>
      <c r="C85" s="213" t="s">
        <v>98</v>
      </c>
      <c r="D85" s="85" t="s">
        <v>1190</v>
      </c>
      <c r="E85" s="208" t="str">
        <f t="shared" si="1"/>
        <v>Carnaval Bingo Demo</v>
      </c>
      <c r="F85" s="10" t="s">
        <v>571</v>
      </c>
      <c r="G85" s="10" t="s">
        <v>571</v>
      </c>
      <c r="H85" s="209">
        <v>0.08</v>
      </c>
      <c r="I85" s="209">
        <v>30</v>
      </c>
      <c r="J85" s="209">
        <v>0.2</v>
      </c>
      <c r="K85" s="143">
        <v>22500</v>
      </c>
      <c r="L85" s="87" t="s">
        <v>1180</v>
      </c>
      <c r="M85" s="87" t="s">
        <v>127</v>
      </c>
      <c r="N85" s="87" t="s">
        <v>595</v>
      </c>
      <c r="O85" s="10" t="s">
        <v>26</v>
      </c>
      <c r="P85" s="56">
        <v>0.5464</v>
      </c>
      <c r="Q85" s="60" t="s">
        <v>43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30.75">
      <c r="A86" s="7" t="s">
        <v>596</v>
      </c>
      <c r="B86" s="119" t="s">
        <v>569</v>
      </c>
      <c r="C86" s="213" t="s">
        <v>98</v>
      </c>
      <c r="D86" s="85" t="s">
        <v>1191</v>
      </c>
      <c r="E86" s="208" t="str">
        <f t="shared" si="1"/>
        <v>Casino Bingo Demo</v>
      </c>
      <c r="F86" s="10" t="s">
        <v>571</v>
      </c>
      <c r="G86" s="10" t="s">
        <v>571</v>
      </c>
      <c r="H86" s="209">
        <v>0.08</v>
      </c>
      <c r="I86" s="209">
        <v>30</v>
      </c>
      <c r="J86" s="209">
        <v>0.2</v>
      </c>
      <c r="K86" s="143">
        <v>18750</v>
      </c>
      <c r="L86" s="87" t="s">
        <v>1180</v>
      </c>
      <c r="M86" s="87" t="s">
        <v>573</v>
      </c>
      <c r="N86" s="87" t="s">
        <v>598</v>
      </c>
      <c r="O86" s="50" t="s">
        <v>26</v>
      </c>
      <c r="P86" s="56">
        <v>0.4854</v>
      </c>
      <c r="Q86" s="60" t="s">
        <v>43</v>
      </c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30.75">
      <c r="A87" s="7" t="s">
        <v>1192</v>
      </c>
      <c r="B87" s="119" t="s">
        <v>569</v>
      </c>
      <c r="C87" s="213" t="s">
        <v>98</v>
      </c>
      <c r="D87" s="85" t="s">
        <v>1193</v>
      </c>
      <c r="E87" s="208" t="str">
        <f t="shared" si="1"/>
        <v>Castle Demo</v>
      </c>
      <c r="F87" s="10" t="s">
        <v>571</v>
      </c>
      <c r="G87" s="10" t="s">
        <v>571</v>
      </c>
      <c r="H87" s="209">
        <v>0.08</v>
      </c>
      <c r="I87" s="209">
        <v>30</v>
      </c>
      <c r="J87" s="209">
        <v>0.2</v>
      </c>
      <c r="K87" s="143">
        <v>15000</v>
      </c>
      <c r="L87" s="87" t="s">
        <v>1180</v>
      </c>
      <c r="M87" s="87" t="s">
        <v>144</v>
      </c>
      <c r="N87" s="87" t="s">
        <v>601</v>
      </c>
      <c r="O87" s="10" t="s">
        <v>26</v>
      </c>
      <c r="P87" s="56">
        <v>0.48080000000000001</v>
      </c>
      <c r="Q87" s="60" t="s">
        <v>43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30.75">
      <c r="A88" s="7" t="s">
        <v>1194</v>
      </c>
      <c r="B88" s="119" t="s">
        <v>569</v>
      </c>
      <c r="C88" s="213" t="s">
        <v>98</v>
      </c>
      <c r="D88" s="85" t="s">
        <v>1195</v>
      </c>
      <c r="E88" s="208" t="str">
        <f t="shared" si="1"/>
        <v>Caveman Demo</v>
      </c>
      <c r="F88" s="10" t="s">
        <v>571</v>
      </c>
      <c r="G88" s="10" t="s">
        <v>571</v>
      </c>
      <c r="H88" s="209">
        <v>0.08</v>
      </c>
      <c r="I88" s="209">
        <v>30</v>
      </c>
      <c r="J88" s="209">
        <v>0.2</v>
      </c>
      <c r="K88" s="143">
        <v>11250</v>
      </c>
      <c r="L88" s="87" t="s">
        <v>1180</v>
      </c>
      <c r="M88" s="87" t="s">
        <v>580</v>
      </c>
      <c r="N88" s="87" t="s">
        <v>604</v>
      </c>
      <c r="O88" s="10" t="s">
        <v>26</v>
      </c>
      <c r="P88" s="56">
        <v>0.4587</v>
      </c>
      <c r="Q88" s="60" t="s">
        <v>43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30.75">
      <c r="A89" s="7" t="s">
        <v>1196</v>
      </c>
      <c r="B89" s="119" t="s">
        <v>569</v>
      </c>
      <c r="C89" s="213" t="s">
        <v>98</v>
      </c>
      <c r="D89" s="85" t="s">
        <v>1197</v>
      </c>
      <c r="E89" s="208" t="str">
        <f t="shared" si="1"/>
        <v>Champion Bingo Demo</v>
      </c>
      <c r="F89" s="10" t="s">
        <v>571</v>
      </c>
      <c r="G89" s="10" t="s">
        <v>571</v>
      </c>
      <c r="H89" s="209">
        <v>0.08</v>
      </c>
      <c r="I89" s="209">
        <v>30</v>
      </c>
      <c r="J89" s="209">
        <v>0.2</v>
      </c>
      <c r="K89" s="143">
        <v>11250</v>
      </c>
      <c r="L89" s="87" t="s">
        <v>1180</v>
      </c>
      <c r="M89" s="87" t="s">
        <v>580</v>
      </c>
      <c r="N89" s="87" t="s">
        <v>607</v>
      </c>
      <c r="O89" s="10" t="s">
        <v>26</v>
      </c>
      <c r="P89" s="56">
        <v>0.5181</v>
      </c>
      <c r="Q89" s="60" t="s">
        <v>43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30.75">
      <c r="A90" s="7" t="s">
        <v>608</v>
      </c>
      <c r="B90" s="119" t="s">
        <v>569</v>
      </c>
      <c r="C90" s="213" t="s">
        <v>98</v>
      </c>
      <c r="D90" s="85" t="s">
        <v>1198</v>
      </c>
      <c r="E90" s="208" t="str">
        <f t="shared" si="1"/>
        <v>Circus Bingo Demo</v>
      </c>
      <c r="F90" s="10" t="s">
        <v>571</v>
      </c>
      <c r="G90" s="10" t="s">
        <v>571</v>
      </c>
      <c r="H90" s="209">
        <v>0.08</v>
      </c>
      <c r="I90" s="209">
        <v>30</v>
      </c>
      <c r="J90" s="209">
        <v>0.2</v>
      </c>
      <c r="K90" s="143">
        <v>18750</v>
      </c>
      <c r="L90" s="87" t="s">
        <v>1180</v>
      </c>
      <c r="M90" s="87" t="s">
        <v>573</v>
      </c>
      <c r="N90" s="87" t="s">
        <v>610</v>
      </c>
      <c r="O90" s="10" t="s">
        <v>26</v>
      </c>
      <c r="P90" s="56">
        <v>0.5181</v>
      </c>
      <c r="Q90" s="60" t="s">
        <v>43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30.75">
      <c r="A91" s="7" t="s">
        <v>1199</v>
      </c>
      <c r="B91" s="119" t="s">
        <v>569</v>
      </c>
      <c r="C91" s="213" t="s">
        <v>98</v>
      </c>
      <c r="D91" s="85" t="s">
        <v>1200</v>
      </c>
      <c r="E91" s="208" t="str">
        <f t="shared" si="1"/>
        <v>Classic Cars Bingo Demo</v>
      </c>
      <c r="F91" s="10" t="s">
        <v>571</v>
      </c>
      <c r="G91" s="10" t="s">
        <v>571</v>
      </c>
      <c r="H91" s="209">
        <v>0.08</v>
      </c>
      <c r="I91" s="209">
        <v>30</v>
      </c>
      <c r="J91" s="209">
        <v>0.2</v>
      </c>
      <c r="K91" s="143">
        <v>11250</v>
      </c>
      <c r="L91" s="87" t="s">
        <v>1180</v>
      </c>
      <c r="M91" s="87" t="s">
        <v>580</v>
      </c>
      <c r="N91" s="87" t="s">
        <v>613</v>
      </c>
      <c r="O91" s="10" t="s">
        <v>26</v>
      </c>
      <c r="P91" s="56">
        <v>0.50509999999999999</v>
      </c>
      <c r="Q91" s="60" t="s">
        <v>43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30.75">
      <c r="A92" s="7" t="s">
        <v>1201</v>
      </c>
      <c r="B92" s="119" t="s">
        <v>569</v>
      </c>
      <c r="C92" s="213" t="s">
        <v>98</v>
      </c>
      <c r="D92" s="85" t="s">
        <v>1202</v>
      </c>
      <c r="E92" s="208" t="str">
        <f t="shared" si="1"/>
        <v>Cleopatra Demo</v>
      </c>
      <c r="F92" s="10" t="s">
        <v>571</v>
      </c>
      <c r="G92" s="10" t="s">
        <v>571</v>
      </c>
      <c r="H92" s="209">
        <v>0.08</v>
      </c>
      <c r="I92" s="209">
        <v>30</v>
      </c>
      <c r="J92" s="209">
        <v>0.2</v>
      </c>
      <c r="K92" s="143">
        <v>18750</v>
      </c>
      <c r="L92" s="87" t="s">
        <v>1180</v>
      </c>
      <c r="M92" s="87" t="s">
        <v>573</v>
      </c>
      <c r="N92" s="87" t="s">
        <v>616</v>
      </c>
      <c r="O92" s="10" t="s">
        <v>26</v>
      </c>
      <c r="P92" s="56">
        <v>0.48780000000000001</v>
      </c>
      <c r="Q92" s="60" t="s">
        <v>43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30.75">
      <c r="A93" s="7" t="s">
        <v>1203</v>
      </c>
      <c r="B93" s="119" t="s">
        <v>569</v>
      </c>
      <c r="C93" s="213" t="s">
        <v>98</v>
      </c>
      <c r="D93" s="85" t="s">
        <v>1204</v>
      </c>
      <c r="E93" s="208" t="str">
        <f t="shared" si="1"/>
        <v>Cocktails Demo</v>
      </c>
      <c r="F93" s="10" t="s">
        <v>571</v>
      </c>
      <c r="G93" s="10" t="s">
        <v>571</v>
      </c>
      <c r="H93" s="209">
        <v>0.08</v>
      </c>
      <c r="I93" s="209">
        <v>30</v>
      </c>
      <c r="J93" s="209">
        <v>0.2</v>
      </c>
      <c r="K93" s="143">
        <v>11250</v>
      </c>
      <c r="L93" s="87" t="s">
        <v>1180</v>
      </c>
      <c r="M93" s="87" t="s">
        <v>580</v>
      </c>
      <c r="N93" s="87" t="s">
        <v>619</v>
      </c>
      <c r="O93" s="10" t="s">
        <v>26</v>
      </c>
      <c r="P93" s="56">
        <v>0.52910000000000001</v>
      </c>
      <c r="Q93" s="60" t="s">
        <v>43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>
      <c r="A94" s="7" t="s">
        <v>1205</v>
      </c>
      <c r="B94" s="119" t="s">
        <v>569</v>
      </c>
      <c r="C94" s="213" t="s">
        <v>98</v>
      </c>
      <c r="D94" s="85" t="s">
        <v>1206</v>
      </c>
      <c r="E94" s="208" t="str">
        <f t="shared" si="1"/>
        <v>Cupcakes Bingo Demo</v>
      </c>
      <c r="F94" s="10" t="s">
        <v>571</v>
      </c>
      <c r="G94" s="10" t="s">
        <v>571</v>
      </c>
      <c r="H94" s="209">
        <v>0.08</v>
      </c>
      <c r="I94" s="209">
        <v>30</v>
      </c>
      <c r="J94" s="209">
        <v>5</v>
      </c>
      <c r="K94" s="143">
        <v>22500</v>
      </c>
      <c r="L94" s="87" t="s">
        <v>1207</v>
      </c>
      <c r="M94" s="87" t="s">
        <v>127</v>
      </c>
      <c r="N94" s="87" t="s">
        <v>623</v>
      </c>
      <c r="O94" s="10" t="s">
        <v>26</v>
      </c>
      <c r="P94" s="56">
        <v>0.4587</v>
      </c>
      <c r="Q94" s="60" t="s">
        <v>43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30.75">
      <c r="A95" s="7" t="s">
        <v>1208</v>
      </c>
      <c r="B95" s="119" t="s">
        <v>569</v>
      </c>
      <c r="C95" s="213" t="s">
        <v>98</v>
      </c>
      <c r="D95" s="85" t="s">
        <v>1209</v>
      </c>
      <c r="E95" s="208" t="str">
        <f t="shared" si="1"/>
        <v>Detective Demo</v>
      </c>
      <c r="F95" s="10" t="s">
        <v>571</v>
      </c>
      <c r="G95" s="10" t="s">
        <v>571</v>
      </c>
      <c r="H95" s="209">
        <v>0.08</v>
      </c>
      <c r="I95" s="209">
        <v>30</v>
      </c>
      <c r="J95" s="209">
        <v>0.2</v>
      </c>
      <c r="K95" s="143">
        <v>15000</v>
      </c>
      <c r="L95" s="87" t="s">
        <v>1180</v>
      </c>
      <c r="M95" s="87" t="s">
        <v>144</v>
      </c>
      <c r="N95" s="87" t="s">
        <v>626</v>
      </c>
      <c r="O95" s="10" t="s">
        <v>26</v>
      </c>
      <c r="P95" s="56">
        <v>0.4274</v>
      </c>
      <c r="Q95" s="60" t="s">
        <v>43</v>
      </c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30.75">
      <c r="A96" s="7" t="s">
        <v>1210</v>
      </c>
      <c r="B96" s="119" t="s">
        <v>569</v>
      </c>
      <c r="C96" s="213" t="s">
        <v>98</v>
      </c>
      <c r="D96" s="85" t="s">
        <v>1211</v>
      </c>
      <c r="E96" s="208" t="str">
        <f t="shared" si="1"/>
        <v>Diamonds Demo</v>
      </c>
      <c r="F96" s="10" t="s">
        <v>571</v>
      </c>
      <c r="G96" s="10" t="s">
        <v>571</v>
      </c>
      <c r="H96" s="209">
        <v>0.08</v>
      </c>
      <c r="I96" s="209">
        <v>30</v>
      </c>
      <c r="J96" s="209">
        <v>0.2</v>
      </c>
      <c r="K96" s="143">
        <v>30000</v>
      </c>
      <c r="L96" s="87" t="s">
        <v>1180</v>
      </c>
      <c r="M96" s="87" t="s">
        <v>85</v>
      </c>
      <c r="N96" s="87" t="s">
        <v>629</v>
      </c>
      <c r="O96" s="10" t="s">
        <v>26</v>
      </c>
      <c r="P96" s="56">
        <v>0.47620000000000001</v>
      </c>
      <c r="Q96" s="60" t="s">
        <v>43</v>
      </c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30.75">
      <c r="A97" s="7" t="s">
        <v>1212</v>
      </c>
      <c r="B97" s="119" t="s">
        <v>569</v>
      </c>
      <c r="C97" s="213" t="s">
        <v>98</v>
      </c>
      <c r="D97" s="85" t="s">
        <v>1213</v>
      </c>
      <c r="E97" s="208" t="str">
        <f t="shared" si="1"/>
        <v>Disco Demo</v>
      </c>
      <c r="F97" s="10" t="s">
        <v>571</v>
      </c>
      <c r="G97" s="10" t="s">
        <v>571</v>
      </c>
      <c r="H97" s="209">
        <v>0.08</v>
      </c>
      <c r="I97" s="209">
        <v>30</v>
      </c>
      <c r="J97" s="209">
        <v>0.2</v>
      </c>
      <c r="K97" s="143">
        <v>15000</v>
      </c>
      <c r="L97" s="87" t="s">
        <v>1180</v>
      </c>
      <c r="M97" s="87" t="s">
        <v>144</v>
      </c>
      <c r="N97" s="87" t="s">
        <v>632</v>
      </c>
      <c r="O97" s="10" t="s">
        <v>26</v>
      </c>
      <c r="P97" s="56">
        <v>0.6452</v>
      </c>
      <c r="Q97" s="60" t="s">
        <v>43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30.75">
      <c r="A98" s="7" t="s">
        <v>1214</v>
      </c>
      <c r="B98" s="119" t="s">
        <v>569</v>
      </c>
      <c r="C98" s="68" t="s">
        <v>20</v>
      </c>
      <c r="D98" s="85" t="s">
        <v>1215</v>
      </c>
      <c r="E98" s="208" t="str">
        <f t="shared" si="1"/>
        <v>Far West Bingo Demo</v>
      </c>
      <c r="F98" s="10" t="s">
        <v>571</v>
      </c>
      <c r="G98" s="10" t="s">
        <v>571</v>
      </c>
      <c r="H98" s="209">
        <v>0.08</v>
      </c>
      <c r="I98" s="209">
        <v>30</v>
      </c>
      <c r="J98" s="209">
        <v>0.2</v>
      </c>
      <c r="K98" s="143">
        <v>30000</v>
      </c>
      <c r="L98" s="347" t="s">
        <v>1180</v>
      </c>
      <c r="M98" s="87" t="s">
        <v>85</v>
      </c>
      <c r="N98" s="270">
        <v>0.90610000000000002</v>
      </c>
      <c r="O98" s="29" t="s">
        <v>26</v>
      </c>
      <c r="P98" s="56">
        <v>0.11210000000000001</v>
      </c>
      <c r="Q98" s="60" t="s">
        <v>27</v>
      </c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30.75">
      <c r="A99" s="7" t="s">
        <v>636</v>
      </c>
      <c r="B99" s="119" t="s">
        <v>569</v>
      </c>
      <c r="C99" s="213" t="s">
        <v>98</v>
      </c>
      <c r="D99" s="85" t="s">
        <v>1216</v>
      </c>
      <c r="E99" s="208" t="str">
        <f t="shared" si="1"/>
        <v>Fashion Bingo Demo</v>
      </c>
      <c r="F99" s="10" t="s">
        <v>571</v>
      </c>
      <c r="G99" s="10" t="s">
        <v>571</v>
      </c>
      <c r="H99" s="209">
        <v>0.08</v>
      </c>
      <c r="I99" s="209">
        <v>30</v>
      </c>
      <c r="J99" s="209">
        <v>0.2</v>
      </c>
      <c r="K99" s="143">
        <v>15000</v>
      </c>
      <c r="L99" s="87" t="s">
        <v>1180</v>
      </c>
      <c r="M99" s="87" t="s">
        <v>144</v>
      </c>
      <c r="N99" s="87" t="s">
        <v>638</v>
      </c>
      <c r="O99" s="10" t="s">
        <v>26</v>
      </c>
      <c r="P99" s="56">
        <v>0.58819999999999995</v>
      </c>
      <c r="Q99" s="60" t="s">
        <v>43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30.75">
      <c r="A100" s="7" t="s">
        <v>1217</v>
      </c>
      <c r="B100" s="119" t="s">
        <v>569</v>
      </c>
      <c r="C100" s="213" t="s">
        <v>98</v>
      </c>
      <c r="D100" s="85" t="s">
        <v>1218</v>
      </c>
      <c r="E100" s="208" t="str">
        <f t="shared" si="1"/>
        <v>Golden Lucky Cat Demo</v>
      </c>
      <c r="F100" s="10" t="s">
        <v>571</v>
      </c>
      <c r="G100" s="10" t="s">
        <v>571</v>
      </c>
      <c r="H100" s="209">
        <v>0.08</v>
      </c>
      <c r="I100" s="209">
        <v>30</v>
      </c>
      <c r="J100" s="209">
        <v>0.2</v>
      </c>
      <c r="K100" s="143">
        <v>18750</v>
      </c>
      <c r="L100" s="87" t="s">
        <v>1180</v>
      </c>
      <c r="M100" s="87" t="s">
        <v>573</v>
      </c>
      <c r="N100" s="87" t="s">
        <v>641</v>
      </c>
      <c r="O100" s="10" t="s">
        <v>26</v>
      </c>
      <c r="P100" s="56">
        <v>0.12909999999999999</v>
      </c>
      <c r="Q100" s="60" t="s">
        <v>43</v>
      </c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30.75">
      <c r="A101" s="7" t="s">
        <v>642</v>
      </c>
      <c r="B101" s="119" t="s">
        <v>569</v>
      </c>
      <c r="C101" s="213" t="s">
        <v>98</v>
      </c>
      <c r="D101" s="85" t="s">
        <v>1219</v>
      </c>
      <c r="E101" s="208" t="str">
        <f t="shared" si="1"/>
        <v>Hollywood Bingo Demo</v>
      </c>
      <c r="F101" s="10" t="s">
        <v>571</v>
      </c>
      <c r="G101" s="10" t="s">
        <v>571</v>
      </c>
      <c r="H101" s="209">
        <v>0.08</v>
      </c>
      <c r="I101" s="209">
        <v>30</v>
      </c>
      <c r="J101" s="209">
        <v>0.2</v>
      </c>
      <c r="K101" s="143">
        <v>22500</v>
      </c>
      <c r="L101" s="87" t="s">
        <v>1180</v>
      </c>
      <c r="M101" s="87" t="s">
        <v>127</v>
      </c>
      <c r="N101" s="87" t="s">
        <v>644</v>
      </c>
      <c r="O101" s="10" t="s">
        <v>26</v>
      </c>
      <c r="P101" s="56">
        <v>0.4854</v>
      </c>
      <c r="Q101" s="60" t="s">
        <v>27</v>
      </c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30.75">
      <c r="A102" s="7" t="s">
        <v>651</v>
      </c>
      <c r="B102" s="119" t="s">
        <v>569</v>
      </c>
      <c r="C102" s="213" t="s">
        <v>98</v>
      </c>
      <c r="D102" s="85" t="s">
        <v>1220</v>
      </c>
      <c r="E102" s="208" t="str">
        <f t="shared" si="1"/>
        <v>Magician Bingo Demo</v>
      </c>
      <c r="F102" s="10" t="s">
        <v>571</v>
      </c>
      <c r="G102" s="10" t="s">
        <v>571</v>
      </c>
      <c r="H102" s="209">
        <v>0.08</v>
      </c>
      <c r="I102" s="209">
        <v>30</v>
      </c>
      <c r="J102" s="209">
        <v>0.2</v>
      </c>
      <c r="K102" s="143">
        <v>18750</v>
      </c>
      <c r="L102" s="87" t="s">
        <v>1180</v>
      </c>
      <c r="M102" s="87" t="s">
        <v>573</v>
      </c>
      <c r="N102" s="87" t="s">
        <v>653</v>
      </c>
      <c r="O102" s="10" t="s">
        <v>26</v>
      </c>
      <c r="P102" s="56">
        <v>0.51019999999999999</v>
      </c>
      <c r="Q102" s="60" t="s">
        <v>43</v>
      </c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30.75">
      <c r="A103" s="7" t="s">
        <v>1221</v>
      </c>
      <c r="B103" s="119" t="s">
        <v>569</v>
      </c>
      <c r="C103" s="213" t="s">
        <v>98</v>
      </c>
      <c r="D103" s="85" t="s">
        <v>1222</v>
      </c>
      <c r="E103" s="208" t="str">
        <f t="shared" ref="E103:E121" si="2">HYPERLINK(D103,A103&amp;" Demo")</f>
        <v>Mariachis Demo</v>
      </c>
      <c r="F103" s="10" t="s">
        <v>571</v>
      </c>
      <c r="G103" s="10" t="s">
        <v>571</v>
      </c>
      <c r="H103" s="209">
        <v>0.08</v>
      </c>
      <c r="I103" s="209">
        <v>30</v>
      </c>
      <c r="J103" s="209">
        <v>0.2</v>
      </c>
      <c r="K103" s="143">
        <v>15000</v>
      </c>
      <c r="L103" s="87" t="s">
        <v>1180</v>
      </c>
      <c r="M103" s="87" t="s">
        <v>144</v>
      </c>
      <c r="N103" s="87" t="s">
        <v>656</v>
      </c>
      <c r="O103" s="10" t="s">
        <v>26</v>
      </c>
      <c r="P103" s="56">
        <v>0.44840000000000002</v>
      </c>
      <c r="Q103" s="60" t="s">
        <v>43</v>
      </c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30.75">
      <c r="A104" s="7" t="s">
        <v>657</v>
      </c>
      <c r="B104" s="119" t="s">
        <v>569</v>
      </c>
      <c r="C104" s="68" t="s">
        <v>20</v>
      </c>
      <c r="D104" s="85" t="s">
        <v>1223</v>
      </c>
      <c r="E104" s="208" t="str">
        <f t="shared" si="2"/>
        <v>Mina De Oro Bingo Demo</v>
      </c>
      <c r="F104" s="10" t="s">
        <v>571</v>
      </c>
      <c r="G104" s="10" t="s">
        <v>571</v>
      </c>
      <c r="H104" s="209">
        <v>0.08</v>
      </c>
      <c r="I104" s="209">
        <v>30</v>
      </c>
      <c r="J104" s="209">
        <v>0.2</v>
      </c>
      <c r="K104" s="143">
        <v>18750</v>
      </c>
      <c r="L104" s="87" t="s">
        <v>1180</v>
      </c>
      <c r="M104" s="87" t="s">
        <v>573</v>
      </c>
      <c r="N104" s="87" t="s">
        <v>660</v>
      </c>
      <c r="O104" s="10" t="s">
        <v>26</v>
      </c>
      <c r="P104" s="56">
        <v>0.12690000000000001</v>
      </c>
      <c r="Q104" s="60" t="s">
        <v>27</v>
      </c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30.75">
      <c r="A105" s="7" t="s">
        <v>661</v>
      </c>
      <c r="B105" s="119" t="s">
        <v>569</v>
      </c>
      <c r="C105" s="213" t="s">
        <v>98</v>
      </c>
      <c r="D105" s="85" t="s">
        <v>1224</v>
      </c>
      <c r="E105" s="208" t="str">
        <f t="shared" si="2"/>
        <v>Monsters Bingo Demo</v>
      </c>
      <c r="F105" s="10" t="s">
        <v>571</v>
      </c>
      <c r="G105" s="10" t="s">
        <v>571</v>
      </c>
      <c r="H105" s="209">
        <v>0.08</v>
      </c>
      <c r="I105" s="209">
        <v>30</v>
      </c>
      <c r="J105" s="209">
        <v>0.2</v>
      </c>
      <c r="K105" s="143">
        <v>11250</v>
      </c>
      <c r="L105" s="87" t="s">
        <v>1180</v>
      </c>
      <c r="M105" s="87" t="s">
        <v>580</v>
      </c>
      <c r="N105" s="87" t="s">
        <v>577</v>
      </c>
      <c r="O105" s="10" t="s">
        <v>26</v>
      </c>
      <c r="P105" s="56">
        <v>0.52629999999999999</v>
      </c>
      <c r="Q105" s="60" t="s">
        <v>43</v>
      </c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30.75">
      <c r="A106" s="7" t="s">
        <v>1225</v>
      </c>
      <c r="B106" s="119" t="s">
        <v>569</v>
      </c>
      <c r="C106" s="213" t="s">
        <v>98</v>
      </c>
      <c r="D106" s="85" t="s">
        <v>1226</v>
      </c>
      <c r="E106" s="208" t="str">
        <f t="shared" si="2"/>
        <v>Rock Live Demo</v>
      </c>
      <c r="F106" s="10" t="s">
        <v>571</v>
      </c>
      <c r="G106" s="10" t="s">
        <v>571</v>
      </c>
      <c r="H106" s="209">
        <v>0.08</v>
      </c>
      <c r="I106" s="209">
        <v>30</v>
      </c>
      <c r="J106" s="209">
        <v>0.2</v>
      </c>
      <c r="K106" s="143">
        <v>11250</v>
      </c>
      <c r="L106" s="87" t="s">
        <v>1180</v>
      </c>
      <c r="M106" s="87" t="s">
        <v>580</v>
      </c>
      <c r="N106" s="87" t="s">
        <v>665</v>
      </c>
      <c r="O106" s="10" t="s">
        <v>26</v>
      </c>
      <c r="P106" s="56">
        <v>0.4587</v>
      </c>
      <c r="Q106" s="60" t="s">
        <v>43</v>
      </c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30.75">
      <c r="A107" s="7" t="s">
        <v>666</v>
      </c>
      <c r="B107" s="119" t="s">
        <v>569</v>
      </c>
      <c r="C107" s="213" t="s">
        <v>98</v>
      </c>
      <c r="D107" s="85" t="s">
        <v>1227</v>
      </c>
      <c r="E107" s="208" t="str">
        <f t="shared" si="2"/>
        <v>Roma Bingo Demo</v>
      </c>
      <c r="F107" s="10" t="s">
        <v>571</v>
      </c>
      <c r="G107" s="10" t="s">
        <v>571</v>
      </c>
      <c r="H107" s="209">
        <v>0.08</v>
      </c>
      <c r="I107" s="209">
        <v>30</v>
      </c>
      <c r="J107" s="209">
        <v>0.2</v>
      </c>
      <c r="K107" s="143">
        <v>11250</v>
      </c>
      <c r="L107" s="87" t="s">
        <v>1180</v>
      </c>
      <c r="M107" s="87" t="s">
        <v>580</v>
      </c>
      <c r="N107" s="87" t="s">
        <v>668</v>
      </c>
      <c r="O107" s="10" t="s">
        <v>26</v>
      </c>
      <c r="P107" s="56">
        <v>0.75760000000000005</v>
      </c>
      <c r="Q107" s="60" t="s">
        <v>43</v>
      </c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>
      <c r="A108" s="377" t="s">
        <v>669</v>
      </c>
      <c r="B108" s="226" t="s">
        <v>569</v>
      </c>
      <c r="C108" s="380" t="s">
        <v>20</v>
      </c>
      <c r="D108" s="379" t="s">
        <v>1228</v>
      </c>
      <c r="E108" s="348" t="s">
        <v>669</v>
      </c>
      <c r="F108" s="378" t="s">
        <v>647</v>
      </c>
      <c r="G108" s="378" t="s">
        <v>648</v>
      </c>
      <c r="H108" s="397">
        <v>0.08</v>
      </c>
      <c r="I108" s="397">
        <v>30</v>
      </c>
      <c r="J108" s="397">
        <v>0.2</v>
      </c>
      <c r="K108" s="397">
        <v>30000</v>
      </c>
      <c r="L108" s="378" t="s">
        <v>572</v>
      </c>
      <c r="M108" s="378" t="s">
        <v>138</v>
      </c>
      <c r="N108" s="378" t="s">
        <v>1229</v>
      </c>
      <c r="O108" s="378" t="s">
        <v>26</v>
      </c>
      <c r="P108" s="378" t="s">
        <v>672</v>
      </c>
      <c r="Q108" s="378" t="s">
        <v>27</v>
      </c>
    </row>
    <row r="109" spans="1:29" ht="30.75">
      <c r="A109" s="7" t="s">
        <v>1230</v>
      </c>
      <c r="B109" s="119" t="s">
        <v>569</v>
      </c>
      <c r="C109" s="213" t="s">
        <v>98</v>
      </c>
      <c r="D109" s="85" t="s">
        <v>1231</v>
      </c>
      <c r="E109" s="208" t="str">
        <f t="shared" si="2"/>
        <v>Sea Demo</v>
      </c>
      <c r="F109" s="10" t="s">
        <v>571</v>
      </c>
      <c r="G109" s="10" t="s">
        <v>571</v>
      </c>
      <c r="H109" s="209">
        <v>0.08</v>
      </c>
      <c r="I109" s="209">
        <v>30</v>
      </c>
      <c r="J109" s="209">
        <v>0.2</v>
      </c>
      <c r="K109" s="143">
        <v>11250</v>
      </c>
      <c r="L109" s="87" t="s">
        <v>1180</v>
      </c>
      <c r="M109" s="87" t="s">
        <v>580</v>
      </c>
      <c r="N109" s="87" t="s">
        <v>623</v>
      </c>
      <c r="O109" s="10" t="s">
        <v>26</v>
      </c>
      <c r="P109" s="56">
        <v>0.57469999999999999</v>
      </c>
      <c r="Q109" s="60" t="s">
        <v>43</v>
      </c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30.75">
      <c r="A110" s="7" t="s">
        <v>1232</v>
      </c>
      <c r="B110" s="119" t="s">
        <v>569</v>
      </c>
      <c r="C110" s="213" t="s">
        <v>98</v>
      </c>
      <c r="D110" s="85" t="s">
        <v>1233</v>
      </c>
      <c r="E110" s="208" t="str">
        <f t="shared" si="2"/>
        <v>Sunken City Demo</v>
      </c>
      <c r="F110" s="10" t="s">
        <v>571</v>
      </c>
      <c r="G110" s="10" t="s">
        <v>571</v>
      </c>
      <c r="H110" s="209">
        <v>0.08</v>
      </c>
      <c r="I110" s="209">
        <v>30</v>
      </c>
      <c r="J110" s="209">
        <v>0.2</v>
      </c>
      <c r="K110" s="143">
        <v>18750</v>
      </c>
      <c r="L110" s="87" t="s">
        <v>1180</v>
      </c>
      <c r="M110" s="87" t="s">
        <v>573</v>
      </c>
      <c r="N110" s="87" t="s">
        <v>587</v>
      </c>
      <c r="O110" s="10" t="s">
        <v>26</v>
      </c>
      <c r="P110" s="56">
        <v>8.0799999999999997E-2</v>
      </c>
      <c r="Q110" s="60" t="s">
        <v>43</v>
      </c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30.75">
      <c r="A111" s="7" t="s">
        <v>1234</v>
      </c>
      <c r="B111" s="119" t="s">
        <v>569</v>
      </c>
      <c r="C111" s="213" t="s">
        <v>98</v>
      </c>
      <c r="D111" s="85" t="s">
        <v>1235</v>
      </c>
      <c r="E111" s="208" t="str">
        <f t="shared" si="2"/>
        <v>Sweet Home Demo</v>
      </c>
      <c r="F111" s="10" t="s">
        <v>571</v>
      </c>
      <c r="G111" s="10" t="s">
        <v>571</v>
      </c>
      <c r="H111" s="209">
        <v>0.08</v>
      </c>
      <c r="I111" s="209">
        <v>30</v>
      </c>
      <c r="J111" s="209">
        <v>0.2</v>
      </c>
      <c r="K111" s="143">
        <v>15000</v>
      </c>
      <c r="L111" s="87" t="s">
        <v>1180</v>
      </c>
      <c r="M111" s="87" t="s">
        <v>144</v>
      </c>
      <c r="N111" s="87" t="s">
        <v>679</v>
      </c>
      <c r="O111" s="10" t="s">
        <v>26</v>
      </c>
      <c r="P111" s="56">
        <v>0.45050000000000001</v>
      </c>
      <c r="Q111" s="60" t="s">
        <v>43</v>
      </c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30.75">
      <c r="A112" s="7" t="s">
        <v>1236</v>
      </c>
      <c r="B112" s="119" t="s">
        <v>569</v>
      </c>
      <c r="C112" s="213" t="s">
        <v>98</v>
      </c>
      <c r="D112" s="85" t="s">
        <v>1237</v>
      </c>
      <c r="E112" s="208" t="str">
        <f t="shared" si="2"/>
        <v>The Secret Of The Pyramids Demo</v>
      </c>
      <c r="F112" s="10" t="s">
        <v>571</v>
      </c>
      <c r="G112" s="10" t="s">
        <v>571</v>
      </c>
      <c r="H112" s="209">
        <v>0.08</v>
      </c>
      <c r="I112" s="209">
        <v>30</v>
      </c>
      <c r="J112" s="209">
        <v>0.2</v>
      </c>
      <c r="K112" s="143">
        <v>15000</v>
      </c>
      <c r="L112" s="87" t="s">
        <v>1180</v>
      </c>
      <c r="M112" s="87" t="s">
        <v>144</v>
      </c>
      <c r="N112" s="87" t="s">
        <v>635</v>
      </c>
      <c r="O112" s="10" t="s">
        <v>26</v>
      </c>
      <c r="P112" s="56">
        <v>0.223</v>
      </c>
      <c r="Q112" s="60" t="s">
        <v>27</v>
      </c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30.75">
      <c r="A113" s="7" t="s">
        <v>1238</v>
      </c>
      <c r="B113" s="119" t="s">
        <v>569</v>
      </c>
      <c r="C113" s="213" t="s">
        <v>98</v>
      </c>
      <c r="D113" s="85" t="s">
        <v>1239</v>
      </c>
      <c r="E113" s="208" t="str">
        <f t="shared" si="2"/>
        <v>Wild Plains Demo</v>
      </c>
      <c r="F113" s="10" t="s">
        <v>571</v>
      </c>
      <c r="G113" s="10" t="s">
        <v>571</v>
      </c>
      <c r="H113" s="209">
        <v>0.08</v>
      </c>
      <c r="I113" s="209">
        <v>30</v>
      </c>
      <c r="J113" s="209">
        <v>0.2</v>
      </c>
      <c r="K113" s="143">
        <v>22500</v>
      </c>
      <c r="L113" s="87" t="s">
        <v>1180</v>
      </c>
      <c r="M113" s="87" t="s">
        <v>127</v>
      </c>
      <c r="N113" s="87" t="s">
        <v>635</v>
      </c>
      <c r="O113" s="10" t="s">
        <v>26</v>
      </c>
      <c r="P113" s="56">
        <v>0.223</v>
      </c>
      <c r="Q113" s="60" t="s">
        <v>27</v>
      </c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30.75">
      <c r="A114" s="7" t="s">
        <v>1240</v>
      </c>
      <c r="B114" s="119" t="s">
        <v>569</v>
      </c>
      <c r="C114" s="213" t="s">
        <v>98</v>
      </c>
      <c r="D114" s="85" t="s">
        <v>1241</v>
      </c>
      <c r="E114" s="208" t="str">
        <f t="shared" si="2"/>
        <v>Vikings Demo</v>
      </c>
      <c r="F114" s="10" t="s">
        <v>571</v>
      </c>
      <c r="G114" s="10" t="s">
        <v>571</v>
      </c>
      <c r="H114" s="209">
        <v>0.08</v>
      </c>
      <c r="I114" s="209">
        <v>30</v>
      </c>
      <c r="J114" s="209">
        <v>0.2</v>
      </c>
      <c r="K114" s="143">
        <v>15000</v>
      </c>
      <c r="L114" s="87" t="s">
        <v>1180</v>
      </c>
      <c r="M114" s="87" t="s">
        <v>144</v>
      </c>
      <c r="N114" s="87" t="s">
        <v>623</v>
      </c>
      <c r="O114" s="10" t="s">
        <v>26</v>
      </c>
      <c r="P114" s="56">
        <v>0.5181</v>
      </c>
      <c r="Q114" s="60" t="s">
        <v>43</v>
      </c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30.75">
      <c r="A115" s="108" t="s">
        <v>1242</v>
      </c>
      <c r="B115" s="226" t="s">
        <v>569</v>
      </c>
      <c r="C115" s="223" t="s">
        <v>98</v>
      </c>
      <c r="D115" s="219" t="s">
        <v>1243</v>
      </c>
      <c r="E115" s="220" t="str">
        <f t="shared" si="2"/>
        <v>Zeus Demo</v>
      </c>
      <c r="F115" s="150" t="s">
        <v>571</v>
      </c>
      <c r="G115" s="150" t="s">
        <v>571</v>
      </c>
      <c r="H115" s="221">
        <v>0.08</v>
      </c>
      <c r="I115" s="221">
        <v>30</v>
      </c>
      <c r="J115" s="221">
        <v>0.2</v>
      </c>
      <c r="K115" s="241">
        <v>18750</v>
      </c>
      <c r="L115" s="222" t="s">
        <v>1180</v>
      </c>
      <c r="M115" s="222" t="s">
        <v>573</v>
      </c>
      <c r="N115" s="222" t="s">
        <v>684</v>
      </c>
      <c r="O115" s="150" t="s">
        <v>26</v>
      </c>
      <c r="P115" s="115">
        <v>0.4975</v>
      </c>
      <c r="Q115" s="116" t="s">
        <v>43</v>
      </c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30.75">
      <c r="A116" s="3" t="s">
        <v>685</v>
      </c>
      <c r="B116" s="224" t="s">
        <v>1244</v>
      </c>
      <c r="C116" s="161" t="s">
        <v>20</v>
      </c>
      <c r="D116" s="181" t="s">
        <v>1245</v>
      </c>
      <c r="E116" s="215" t="str">
        <f t="shared" si="2"/>
        <v>Ruleta Magic Red Demo</v>
      </c>
      <c r="F116" s="74" t="s">
        <v>689</v>
      </c>
      <c r="G116" s="74" t="s">
        <v>689</v>
      </c>
      <c r="H116" s="216">
        <v>0.1</v>
      </c>
      <c r="I116" s="216">
        <v>100</v>
      </c>
      <c r="J116" s="216">
        <v>0.1</v>
      </c>
      <c r="K116" s="240">
        <v>50000</v>
      </c>
      <c r="L116" s="134" t="s">
        <v>1246</v>
      </c>
      <c r="M116" s="134" t="s">
        <v>144</v>
      </c>
      <c r="N116" s="134" t="s">
        <v>691</v>
      </c>
      <c r="O116" s="74" t="s">
        <v>26</v>
      </c>
      <c r="P116" s="57" t="s">
        <v>689</v>
      </c>
      <c r="Q116" s="62" t="s">
        <v>689</v>
      </c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30.75">
      <c r="A117" s="7" t="s">
        <v>692</v>
      </c>
      <c r="B117" s="120" t="s">
        <v>1244</v>
      </c>
      <c r="C117" s="68" t="s">
        <v>20</v>
      </c>
      <c r="D117" s="85" t="s">
        <v>1247</v>
      </c>
      <c r="E117" s="208" t="str">
        <f t="shared" si="2"/>
        <v>Ruleta Grand Croupier María Lapiedra Demo</v>
      </c>
      <c r="F117" s="10" t="s">
        <v>689</v>
      </c>
      <c r="G117" s="10" t="s">
        <v>689</v>
      </c>
      <c r="H117" s="209">
        <v>0.1</v>
      </c>
      <c r="I117" s="209">
        <v>2000</v>
      </c>
      <c r="J117" s="209">
        <v>0.1</v>
      </c>
      <c r="K117" s="143">
        <v>28800</v>
      </c>
      <c r="L117" s="87" t="s">
        <v>1246</v>
      </c>
      <c r="M117" s="87" t="s">
        <v>694</v>
      </c>
      <c r="N117" s="87" t="s">
        <v>691</v>
      </c>
      <c r="O117" s="10" t="s">
        <v>26</v>
      </c>
      <c r="P117" s="56" t="s">
        <v>689</v>
      </c>
      <c r="Q117" s="60" t="s">
        <v>32</v>
      </c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30.75">
      <c r="A118" s="7" t="s">
        <v>695</v>
      </c>
      <c r="B118" s="120" t="s">
        <v>1244</v>
      </c>
      <c r="C118" s="68" t="s">
        <v>20</v>
      </c>
      <c r="D118" s="85" t="s">
        <v>1248</v>
      </c>
      <c r="E118" s="208" t="str">
        <f t="shared" si="2"/>
        <v>Ruleta Grand Croupier Chiquito Demo</v>
      </c>
      <c r="F118" s="10" t="s">
        <v>689</v>
      </c>
      <c r="G118" s="10" t="s">
        <v>689</v>
      </c>
      <c r="H118" s="209">
        <v>0.1</v>
      </c>
      <c r="I118" s="209">
        <v>2000</v>
      </c>
      <c r="J118" s="209">
        <v>0.1</v>
      </c>
      <c r="K118" s="143">
        <v>28800</v>
      </c>
      <c r="L118" s="87" t="s">
        <v>1246</v>
      </c>
      <c r="M118" s="87" t="s">
        <v>694</v>
      </c>
      <c r="N118" s="87" t="s">
        <v>691</v>
      </c>
      <c r="O118" s="10" t="s">
        <v>26</v>
      </c>
      <c r="P118" s="56" t="s">
        <v>689</v>
      </c>
      <c r="Q118" s="60" t="s">
        <v>32</v>
      </c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30.75">
      <c r="A119" s="7" t="s">
        <v>697</v>
      </c>
      <c r="B119" s="120" t="s">
        <v>1244</v>
      </c>
      <c r="C119" s="68" t="s">
        <v>20</v>
      </c>
      <c r="D119" s="85" t="s">
        <v>1249</v>
      </c>
      <c r="E119" s="208" t="str">
        <f t="shared" si="2"/>
        <v>Ruleta Grand Croupier Sonia Monroy Demo</v>
      </c>
      <c r="F119" s="10" t="s">
        <v>689</v>
      </c>
      <c r="G119" s="10" t="s">
        <v>689</v>
      </c>
      <c r="H119" s="209">
        <v>0.1</v>
      </c>
      <c r="I119" s="209">
        <v>2000</v>
      </c>
      <c r="J119" s="209">
        <v>0.1</v>
      </c>
      <c r="K119" s="143">
        <v>28800</v>
      </c>
      <c r="L119" s="87" t="s">
        <v>1246</v>
      </c>
      <c r="M119" s="87" t="s">
        <v>694</v>
      </c>
      <c r="N119" s="87" t="s">
        <v>691</v>
      </c>
      <c r="O119" s="10" t="s">
        <v>26</v>
      </c>
      <c r="P119" s="56" t="s">
        <v>689</v>
      </c>
      <c r="Q119" s="60" t="s">
        <v>32</v>
      </c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30.75">
      <c r="A120" s="7" t="s">
        <v>699</v>
      </c>
      <c r="B120" s="120" t="s">
        <v>1244</v>
      </c>
      <c r="C120" s="68" t="s">
        <v>20</v>
      </c>
      <c r="D120" s="85" t="s">
        <v>1250</v>
      </c>
      <c r="E120" s="208" t="str">
        <f t="shared" si="2"/>
        <v>Ruleta Grand Croupier El Dioni Demo</v>
      </c>
      <c r="F120" s="10" t="s">
        <v>689</v>
      </c>
      <c r="G120" s="10" t="s">
        <v>689</v>
      </c>
      <c r="H120" s="209">
        <v>0.1</v>
      </c>
      <c r="I120" s="209">
        <v>2000</v>
      </c>
      <c r="J120" s="209">
        <v>0.1</v>
      </c>
      <c r="K120" s="143">
        <v>28800</v>
      </c>
      <c r="L120" s="87" t="s">
        <v>1246</v>
      </c>
      <c r="M120" s="87" t="s">
        <v>694</v>
      </c>
      <c r="N120" s="87" t="s">
        <v>691</v>
      </c>
      <c r="O120" s="10" t="s">
        <v>26</v>
      </c>
      <c r="P120" s="56" t="s">
        <v>689</v>
      </c>
      <c r="Q120" s="60" t="s">
        <v>32</v>
      </c>
    </row>
    <row r="121" spans="1:29" ht="30.75">
      <c r="A121" s="21" t="s">
        <v>701</v>
      </c>
      <c r="B121" s="225" t="s">
        <v>1244</v>
      </c>
      <c r="C121" s="151" t="s">
        <v>20</v>
      </c>
      <c r="D121" s="158" t="s">
        <v>1251</v>
      </c>
      <c r="E121" s="217" t="str">
        <f t="shared" si="2"/>
        <v>Ruleta Grand Croupier Sc Demo</v>
      </c>
      <c r="F121" s="23" t="s">
        <v>689</v>
      </c>
      <c r="G121" s="23" t="s">
        <v>689</v>
      </c>
      <c r="H121" s="218">
        <v>0.1</v>
      </c>
      <c r="I121" s="218">
        <v>2000</v>
      </c>
      <c r="J121" s="218">
        <v>0.1</v>
      </c>
      <c r="K121" s="242">
        <v>28800</v>
      </c>
      <c r="L121" s="247" t="s">
        <v>1246</v>
      </c>
      <c r="M121" s="247" t="s">
        <v>694</v>
      </c>
      <c r="N121" s="247" t="s">
        <v>691</v>
      </c>
      <c r="O121" s="23" t="s">
        <v>26</v>
      </c>
      <c r="P121" s="58" t="s">
        <v>689</v>
      </c>
      <c r="Q121" s="63" t="s">
        <v>32</v>
      </c>
    </row>
  </sheetData>
  <sortState xmlns:xlrd2="http://schemas.microsoft.com/office/spreadsheetml/2017/richdata2" ref="A14:Q77">
    <sortCondition ref="A14:A77"/>
  </sortState>
  <hyperlinks>
    <hyperlink ref="D9" r:id="rId1" display="https://sitemga.mga.games/GameLauncher/gameLauncher.jsp?game=1001501&amp;clienttype=html5&amp;mid=1" xr:uid="{5F1871DF-3C72-4D12-8DB4-DCDCACEB03D5}"/>
    <hyperlink ref="E9" r:id="rId2" xr:uid="{2B705275-1332-4F15-887C-C6957665555D}"/>
    <hyperlink ref="D55" r:id="rId3" display="https://sitemga.mga.games/GameLauncher/gameLauncher.jsp?game=1001535&amp;clienttype=html5&amp;mid=1" xr:uid="{99A396C8-548D-47E9-B1FF-8CB3DE7BBC1D}"/>
    <hyperlink ref="D36" r:id="rId4" display="https://sitemga.mga.games/GameLauncher/gameLauncher.jsp?game=1001539&amp;clienttype=html5&amp;mid=1" xr:uid="{CBA18C7D-BBB1-47DF-AD1C-6565FB32C2F3}"/>
    <hyperlink ref="E36" r:id="rId5" xr:uid="{F5272905-1153-4F68-B4C2-72FA430D8C7B}"/>
    <hyperlink ref="D26" r:id="rId6" xr:uid="{17E27897-FC55-4EC5-A7E4-F1EBB5E11E70}"/>
    <hyperlink ref="E26" r:id="rId7" xr:uid="{9F357BCF-55B4-487E-8676-6082D51E5454}"/>
    <hyperlink ref="D50" r:id="rId8" xr:uid="{30404253-9BAE-403A-B226-E86095B9D790}"/>
    <hyperlink ref="E50" r:id="rId9" display="Pharaoh’S Mystery " xr:uid="{7FB18FCD-B933-4891-9A2A-E3250CBD7692}"/>
    <hyperlink ref="D108" r:id="rId10" xr:uid="{4160BB16-22E0-40E3-9B39-A4AFDE5E631C}"/>
    <hyperlink ref="E108" r:id="rId11" xr:uid="{ED4D2DFD-1407-467D-91D3-088C7A250AC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05D8-B904-41EA-84A5-437CE9F30588}">
  <dimension ref="A1:AI24"/>
  <sheetViews>
    <sheetView workbookViewId="0">
      <pane xSplit="2" ySplit="1" topLeftCell="C12" activePane="bottomRight" state="frozen"/>
      <selection pane="bottomRight" activeCell="E23" activeCellId="1" sqref="A15 E23"/>
      <selection pane="bottomLeft"/>
      <selection pane="topRight"/>
    </sheetView>
  </sheetViews>
  <sheetFormatPr defaultColWidth="9.140625" defaultRowHeight="15"/>
  <cols>
    <col min="1" max="1" width="39.140625" style="36" bestFit="1" customWidth="1"/>
    <col min="2" max="2" width="12.85546875" style="36" bestFit="1" customWidth="1"/>
    <col min="3" max="3" width="13.7109375" style="36" bestFit="1" customWidth="1"/>
    <col min="4" max="4" width="88.85546875" style="36" hidden="1" customWidth="1"/>
    <col min="5" max="5" width="37.140625" style="2" bestFit="1" customWidth="1"/>
    <col min="6" max="6" width="10.85546875" style="36" bestFit="1" customWidth="1"/>
    <col min="7" max="7" width="6.140625" style="36" bestFit="1" customWidth="1"/>
    <col min="8" max="8" width="12.5703125" style="281" bestFit="1" customWidth="1"/>
    <col min="9" max="9" width="12.85546875" style="281" bestFit="1" customWidth="1"/>
    <col min="10" max="10" width="15.28515625" style="281" customWidth="1"/>
    <col min="11" max="11" width="38.85546875" style="271" customWidth="1"/>
    <col min="12" max="12" width="47.85546875" style="271" customWidth="1"/>
    <col min="13" max="13" width="36.28515625" style="234" customWidth="1"/>
    <col min="14" max="14" width="47.85546875" style="283" bestFit="1" customWidth="1"/>
    <col min="15" max="15" width="8.28515625" style="36" bestFit="1" customWidth="1"/>
    <col min="16" max="16" width="8.5703125" style="36" bestFit="1" customWidth="1"/>
    <col min="17" max="17" width="13.42578125" style="36" bestFit="1" customWidth="1"/>
    <col min="18" max="16384" width="9.140625" style="36"/>
  </cols>
  <sheetData>
    <row r="1" spans="1:35" ht="31.5">
      <c r="A1" s="314" t="s">
        <v>1252</v>
      </c>
      <c r="B1" s="117" t="s">
        <v>1</v>
      </c>
      <c r="C1" s="67" t="s">
        <v>2</v>
      </c>
      <c r="D1" s="67" t="s">
        <v>4</v>
      </c>
      <c r="E1" s="67" t="s">
        <v>5</v>
      </c>
      <c r="F1" s="164" t="s">
        <v>6</v>
      </c>
      <c r="G1" s="164" t="s">
        <v>7</v>
      </c>
      <c r="H1" s="179" t="s">
        <v>8</v>
      </c>
      <c r="I1" s="179" t="s">
        <v>9</v>
      </c>
      <c r="J1" s="179" t="s">
        <v>10</v>
      </c>
      <c r="K1" s="253" t="s">
        <v>11</v>
      </c>
      <c r="L1" s="272" t="s">
        <v>708</v>
      </c>
      <c r="M1" s="227" t="s">
        <v>13</v>
      </c>
      <c r="N1" s="282" t="s">
        <v>14</v>
      </c>
      <c r="O1" s="121" t="s">
        <v>15</v>
      </c>
      <c r="P1" s="180" t="s">
        <v>16</v>
      </c>
      <c r="Q1" s="122" t="s">
        <v>17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  <c r="AE1" s="2"/>
      <c r="AF1" s="2"/>
      <c r="AG1" s="2"/>
      <c r="AH1" s="2"/>
      <c r="AI1" s="2"/>
    </row>
    <row r="2" spans="1:35" ht="30">
      <c r="A2" s="273" t="s">
        <v>945</v>
      </c>
      <c r="B2" s="160" t="s">
        <v>19</v>
      </c>
      <c r="C2" s="107" t="s">
        <v>20</v>
      </c>
      <c r="D2" s="290" t="s">
        <v>1253</v>
      </c>
      <c r="E2" s="286" t="str">
        <f t="shared" ref="E2:E24" si="0">HYPERLINK(D2,A2)</f>
        <v>777 Hot Megaways</v>
      </c>
      <c r="F2" s="74">
        <v>117649</v>
      </c>
      <c r="G2" s="74">
        <v>6</v>
      </c>
      <c r="H2" s="4">
        <v>0.2</v>
      </c>
      <c r="I2" s="4">
        <v>10</v>
      </c>
      <c r="J2" s="4">
        <v>0.2</v>
      </c>
      <c r="K2" s="240" t="s">
        <v>22</v>
      </c>
      <c r="L2" s="240" t="s">
        <v>23</v>
      </c>
      <c r="M2" s="134" t="s">
        <v>24</v>
      </c>
      <c r="N2" s="134" t="s">
        <v>25</v>
      </c>
      <c r="O2" s="74" t="s">
        <v>26</v>
      </c>
      <c r="P2" s="74" t="s">
        <v>1254</v>
      </c>
      <c r="Q2" s="62" t="s">
        <v>27</v>
      </c>
    </row>
    <row r="3" spans="1:35" ht="30">
      <c r="A3" s="274" t="s">
        <v>1255</v>
      </c>
      <c r="B3" s="8" t="s">
        <v>19</v>
      </c>
      <c r="C3" s="9" t="s">
        <v>20</v>
      </c>
      <c r="D3" s="291" t="s">
        <v>1256</v>
      </c>
      <c r="E3" s="287" t="str">
        <f t="shared" si="0"/>
        <v>Ayla de Zwart Far West Mania Megaways</v>
      </c>
      <c r="F3" s="10">
        <v>117649</v>
      </c>
      <c r="G3" s="10">
        <v>6</v>
      </c>
      <c r="H3" s="11">
        <v>0.2</v>
      </c>
      <c r="I3" s="11">
        <v>10</v>
      </c>
      <c r="J3" s="11">
        <v>0.2</v>
      </c>
      <c r="K3" s="143">
        <v>50000</v>
      </c>
      <c r="L3" s="143" t="s">
        <v>23</v>
      </c>
      <c r="M3" s="87" t="s">
        <v>30</v>
      </c>
      <c r="N3" s="87" t="s">
        <v>38</v>
      </c>
      <c r="O3" s="10" t="s">
        <v>26</v>
      </c>
      <c r="P3" s="10" t="s">
        <v>1257</v>
      </c>
      <c r="Q3" s="60" t="s">
        <v>39</v>
      </c>
    </row>
    <row r="4" spans="1:35" ht="30">
      <c r="A4" s="275" t="s">
        <v>965</v>
      </c>
      <c r="B4" s="8" t="s">
        <v>19</v>
      </c>
      <c r="C4" s="9" t="s">
        <v>20</v>
      </c>
      <c r="D4" s="291" t="s">
        <v>1258</v>
      </c>
      <c r="E4" s="287" t="str">
        <f t="shared" si="0"/>
        <v>Golden Ocean Megaways</v>
      </c>
      <c r="F4" s="10">
        <v>117649</v>
      </c>
      <c r="G4" s="10">
        <v>7</v>
      </c>
      <c r="H4" s="11">
        <v>0.2</v>
      </c>
      <c r="I4" s="11">
        <v>20</v>
      </c>
      <c r="J4" s="11">
        <v>1</v>
      </c>
      <c r="K4" s="143">
        <v>25000</v>
      </c>
      <c r="L4" s="143" t="s">
        <v>46</v>
      </c>
      <c r="M4" s="87" t="s">
        <v>47</v>
      </c>
      <c r="N4" s="87" t="s">
        <v>48</v>
      </c>
      <c r="O4" s="10" t="s">
        <v>26</v>
      </c>
      <c r="P4" s="10" t="s">
        <v>1254</v>
      </c>
      <c r="Q4" s="60" t="s">
        <v>43</v>
      </c>
    </row>
    <row r="5" spans="1:35" ht="30">
      <c r="A5" s="275" t="s">
        <v>1259</v>
      </c>
      <c r="B5" s="8" t="s">
        <v>19</v>
      </c>
      <c r="C5" s="9" t="s">
        <v>20</v>
      </c>
      <c r="D5" s="291" t="s">
        <v>1260</v>
      </c>
      <c r="E5" s="287" t="str">
        <f t="shared" si="0"/>
        <v>Milou Tamara Goudmijn Mania Megaways</v>
      </c>
      <c r="F5" s="10">
        <v>117649</v>
      </c>
      <c r="G5" s="10">
        <v>6</v>
      </c>
      <c r="H5" s="11">
        <v>0.2</v>
      </c>
      <c r="I5" s="11">
        <v>10</v>
      </c>
      <c r="J5" s="11">
        <v>0.2</v>
      </c>
      <c r="K5" s="143">
        <v>21000</v>
      </c>
      <c r="L5" s="143" t="s">
        <v>23</v>
      </c>
      <c r="M5" s="87" t="s">
        <v>61</v>
      </c>
      <c r="N5" s="87" t="s">
        <v>62</v>
      </c>
      <c r="O5" s="10" t="s">
        <v>26</v>
      </c>
      <c r="P5" s="10" t="s">
        <v>1261</v>
      </c>
      <c r="Q5" s="60" t="s">
        <v>43</v>
      </c>
    </row>
    <row r="6" spans="1:35" ht="30">
      <c r="A6" s="276" t="s">
        <v>1262</v>
      </c>
      <c r="B6" s="162" t="s">
        <v>19</v>
      </c>
      <c r="C6" s="22" t="s">
        <v>20</v>
      </c>
      <c r="D6" s="291" t="s">
        <v>1263</v>
      </c>
      <c r="E6" s="289" t="str">
        <f t="shared" si="0"/>
        <v>Neem het Geld Megaways</v>
      </c>
      <c r="F6" s="23">
        <v>117649</v>
      </c>
      <c r="G6" s="23">
        <v>6</v>
      </c>
      <c r="H6" s="24">
        <v>0.2</v>
      </c>
      <c r="I6" s="24">
        <v>10</v>
      </c>
      <c r="J6" s="24">
        <v>0.2</v>
      </c>
      <c r="K6" s="242">
        <v>50000</v>
      </c>
      <c r="L6" s="242" t="s">
        <v>23</v>
      </c>
      <c r="M6" s="247" t="s">
        <v>30</v>
      </c>
      <c r="N6" s="247" t="s">
        <v>42</v>
      </c>
      <c r="O6" s="23" t="s">
        <v>26</v>
      </c>
      <c r="P6" s="277">
        <v>0.23</v>
      </c>
      <c r="Q6" s="63" t="s">
        <v>43</v>
      </c>
    </row>
    <row r="7" spans="1:35" ht="30">
      <c r="A7" s="278" t="s">
        <v>987</v>
      </c>
      <c r="B7" s="166" t="s">
        <v>77</v>
      </c>
      <c r="C7" s="171" t="s">
        <v>98</v>
      </c>
      <c r="D7" s="291" t="s">
        <v>1264</v>
      </c>
      <c r="E7" s="293" t="str">
        <f t="shared" si="0"/>
        <v>Alchemy Riches</v>
      </c>
      <c r="F7" s="27">
        <v>25</v>
      </c>
      <c r="G7" s="27">
        <v>5</v>
      </c>
      <c r="H7" s="28">
        <v>0.25</v>
      </c>
      <c r="I7" s="28">
        <v>25</v>
      </c>
      <c r="J7" s="28">
        <v>2.5</v>
      </c>
      <c r="K7" s="243">
        <v>50000</v>
      </c>
      <c r="L7" s="243" t="s">
        <v>102</v>
      </c>
      <c r="M7" s="252" t="s">
        <v>501</v>
      </c>
      <c r="N7" s="252" t="s">
        <v>502</v>
      </c>
      <c r="O7" s="27" t="s">
        <v>26</v>
      </c>
      <c r="P7" s="279">
        <v>0.36</v>
      </c>
      <c r="Q7" s="59" t="s">
        <v>39</v>
      </c>
    </row>
    <row r="8" spans="1:35" ht="30">
      <c r="A8" s="275" t="s">
        <v>1265</v>
      </c>
      <c r="B8" s="12" t="s">
        <v>77</v>
      </c>
      <c r="C8" s="9" t="s">
        <v>20</v>
      </c>
      <c r="D8" s="291" t="s">
        <v>1266</v>
      </c>
      <c r="E8" s="287" t="str">
        <f t="shared" si="0"/>
        <v>Aylin Hayret Koningin van Het Ijs</v>
      </c>
      <c r="F8" s="10">
        <v>243</v>
      </c>
      <c r="G8" s="10">
        <v>5</v>
      </c>
      <c r="H8" s="11">
        <v>0.3</v>
      </c>
      <c r="I8" s="11">
        <v>6</v>
      </c>
      <c r="J8" s="11">
        <v>0.9</v>
      </c>
      <c r="K8" s="143">
        <v>14985</v>
      </c>
      <c r="L8" s="143" t="s">
        <v>79</v>
      </c>
      <c r="M8" s="87" t="s">
        <v>436</v>
      </c>
      <c r="N8" s="87" t="s">
        <v>437</v>
      </c>
      <c r="O8" s="10" t="s">
        <v>26</v>
      </c>
      <c r="P8" s="10" t="s">
        <v>1267</v>
      </c>
      <c r="Q8" s="60" t="s">
        <v>27</v>
      </c>
    </row>
    <row r="9" spans="1:35" ht="30">
      <c r="A9" s="275" t="s">
        <v>1268</v>
      </c>
      <c r="B9" s="12" t="s">
        <v>77</v>
      </c>
      <c r="C9" s="9" t="s">
        <v>20</v>
      </c>
      <c r="D9" s="291" t="s">
        <v>1269</v>
      </c>
      <c r="E9" s="287" t="str">
        <f t="shared" si="0"/>
        <v>Bobbi Eden Kapitein Nemo</v>
      </c>
      <c r="F9" s="10">
        <v>10</v>
      </c>
      <c r="G9" s="10">
        <v>5</v>
      </c>
      <c r="H9" s="15">
        <v>0.1</v>
      </c>
      <c r="I9" s="15">
        <v>25</v>
      </c>
      <c r="J9" s="15">
        <v>1</v>
      </c>
      <c r="K9" s="259">
        <v>37750</v>
      </c>
      <c r="L9" s="259" t="s">
        <v>305</v>
      </c>
      <c r="M9" s="211" t="s">
        <v>306</v>
      </c>
      <c r="N9" s="87" t="s">
        <v>307</v>
      </c>
      <c r="O9" s="93" t="s">
        <v>26</v>
      </c>
      <c r="P9" s="10" t="s">
        <v>1267</v>
      </c>
      <c r="Q9" s="60" t="s">
        <v>27</v>
      </c>
    </row>
    <row r="10" spans="1:35" ht="30">
      <c r="A10" s="275" t="s">
        <v>1270</v>
      </c>
      <c r="B10" s="12" t="s">
        <v>77</v>
      </c>
      <c r="C10" s="9" t="s">
        <v>20</v>
      </c>
      <c r="D10" s="291" t="s">
        <v>1271</v>
      </c>
      <c r="E10" s="287" t="str">
        <f t="shared" si="0"/>
        <v>De Explosieve Bandiet</v>
      </c>
      <c r="F10" s="10">
        <v>10</v>
      </c>
      <c r="G10" s="10">
        <v>5</v>
      </c>
      <c r="H10" s="11">
        <v>0.1</v>
      </c>
      <c r="I10" s="15">
        <v>25</v>
      </c>
      <c r="J10" s="15">
        <v>1</v>
      </c>
      <c r="K10" s="143">
        <v>52500</v>
      </c>
      <c r="L10" s="143" t="s">
        <v>305</v>
      </c>
      <c r="M10" s="87" t="s">
        <v>61</v>
      </c>
      <c r="N10" s="87" t="s">
        <v>865</v>
      </c>
      <c r="O10" s="10" t="s">
        <v>26</v>
      </c>
      <c r="P10" s="10" t="s">
        <v>1272</v>
      </c>
      <c r="Q10" s="60" t="s">
        <v>43</v>
      </c>
    </row>
    <row r="11" spans="1:35">
      <c r="A11" s="275" t="s">
        <v>1273</v>
      </c>
      <c r="B11" s="12" t="s">
        <v>77</v>
      </c>
      <c r="C11" s="9" t="s">
        <v>20</v>
      </c>
      <c r="D11" s="291" t="s">
        <v>1274</v>
      </c>
      <c r="E11" s="287" t="str">
        <f t="shared" si="0"/>
        <v>De Goudmijn Plus</v>
      </c>
      <c r="F11" s="10" t="s">
        <v>26</v>
      </c>
      <c r="G11" s="10">
        <v>3</v>
      </c>
      <c r="H11" s="11">
        <v>0.2</v>
      </c>
      <c r="I11" s="11">
        <v>15</v>
      </c>
      <c r="J11" s="11">
        <v>0.2</v>
      </c>
      <c r="K11" s="143">
        <v>15000</v>
      </c>
      <c r="L11" s="143" t="s">
        <v>1275</v>
      </c>
      <c r="M11" s="87" t="s">
        <v>85</v>
      </c>
      <c r="N11" s="87" t="s">
        <v>86</v>
      </c>
      <c r="O11" s="10" t="s">
        <v>26</v>
      </c>
      <c r="P11" s="10" t="s">
        <v>1276</v>
      </c>
      <c r="Q11" s="60" t="s">
        <v>43</v>
      </c>
    </row>
    <row r="12" spans="1:35" ht="60">
      <c r="A12" s="275" t="s">
        <v>1277</v>
      </c>
      <c r="B12" s="12" t="s">
        <v>77</v>
      </c>
      <c r="C12" s="14" t="s">
        <v>98</v>
      </c>
      <c r="D12" s="291" t="s">
        <v>1278</v>
      </c>
      <c r="E12" s="287" t="str">
        <f t="shared" si="0"/>
        <v>DJ in Session</v>
      </c>
      <c r="F12" s="93">
        <v>243</v>
      </c>
      <c r="G12" s="93">
        <v>5</v>
      </c>
      <c r="H12" s="11">
        <v>0.25</v>
      </c>
      <c r="I12" s="15">
        <v>25</v>
      </c>
      <c r="J12" s="15">
        <v>2.5</v>
      </c>
      <c r="K12" s="259" t="s">
        <v>117</v>
      </c>
      <c r="L12" s="259" t="s">
        <v>102</v>
      </c>
      <c r="M12" s="211" t="s">
        <v>118</v>
      </c>
      <c r="N12" s="87" t="s">
        <v>119</v>
      </c>
      <c r="O12" s="93" t="s">
        <v>26</v>
      </c>
      <c r="P12" s="93" t="s">
        <v>1279</v>
      </c>
      <c r="Q12" s="61" t="s">
        <v>43</v>
      </c>
    </row>
    <row r="13" spans="1:35" ht="30">
      <c r="A13" s="275" t="s">
        <v>298</v>
      </c>
      <c r="B13" s="12" t="s">
        <v>77</v>
      </c>
      <c r="C13" s="9" t="s">
        <v>20</v>
      </c>
      <c r="D13" s="291" t="s">
        <v>1280</v>
      </c>
      <c r="E13" s="287" t="str">
        <f t="shared" si="0"/>
        <v>Fonsi Nieto Deluxe Racing Life</v>
      </c>
      <c r="F13" s="93">
        <v>10</v>
      </c>
      <c r="G13" s="93">
        <v>5</v>
      </c>
      <c r="H13" s="11">
        <v>0.1</v>
      </c>
      <c r="I13" s="15">
        <v>10</v>
      </c>
      <c r="J13" s="15">
        <v>1</v>
      </c>
      <c r="K13" s="259">
        <v>55000</v>
      </c>
      <c r="L13" s="259" t="s">
        <v>257</v>
      </c>
      <c r="M13" s="211" t="s">
        <v>258</v>
      </c>
      <c r="N13" s="87" t="s">
        <v>300</v>
      </c>
      <c r="O13" s="10" t="s">
        <v>26</v>
      </c>
      <c r="P13" s="10" t="s">
        <v>1267</v>
      </c>
      <c r="Q13" s="61" t="s">
        <v>27</v>
      </c>
    </row>
    <row r="14" spans="1:35" ht="45">
      <c r="A14" s="275" t="s">
        <v>1040</v>
      </c>
      <c r="B14" s="12" t="s">
        <v>77</v>
      </c>
      <c r="C14" s="14" t="s">
        <v>98</v>
      </c>
      <c r="D14" s="291" t="s">
        <v>1281</v>
      </c>
      <c r="E14" s="287" t="str">
        <f t="shared" si="0"/>
        <v>God Of Seas</v>
      </c>
      <c r="F14" s="10">
        <v>20</v>
      </c>
      <c r="G14" s="10">
        <v>5</v>
      </c>
      <c r="H14" s="11">
        <v>0.25</v>
      </c>
      <c r="I14" s="11">
        <v>25</v>
      </c>
      <c r="J14" s="11">
        <v>1</v>
      </c>
      <c r="K14" s="143">
        <v>9375</v>
      </c>
      <c r="L14" s="143" t="s">
        <v>800</v>
      </c>
      <c r="M14" s="87" t="s">
        <v>580</v>
      </c>
      <c r="N14" s="87" t="s">
        <v>1282</v>
      </c>
      <c r="O14" s="10" t="s">
        <v>26</v>
      </c>
      <c r="P14" s="10" t="s">
        <v>1279</v>
      </c>
      <c r="Q14" s="60" t="s">
        <v>27</v>
      </c>
    </row>
    <row r="15" spans="1:35" ht="45">
      <c r="A15" s="275" t="s">
        <v>1283</v>
      </c>
      <c r="B15" s="12" t="s">
        <v>77</v>
      </c>
      <c r="C15" s="9" t="s">
        <v>20</v>
      </c>
      <c r="D15" s="291" t="s">
        <v>1284</v>
      </c>
      <c r="E15" s="287" t="str">
        <f t="shared" si="0"/>
        <v>Jessica Weaver Koningin van de Zeeen</v>
      </c>
      <c r="F15" s="10">
        <v>25</v>
      </c>
      <c r="G15" s="10">
        <v>5</v>
      </c>
      <c r="H15" s="11">
        <v>0.25</v>
      </c>
      <c r="I15" s="11">
        <v>25</v>
      </c>
      <c r="J15" s="11">
        <v>2.5</v>
      </c>
      <c r="K15" s="143" t="s">
        <v>337</v>
      </c>
      <c r="L15" s="143" t="s">
        <v>102</v>
      </c>
      <c r="M15" s="87" t="s">
        <v>338</v>
      </c>
      <c r="N15" s="87" t="s">
        <v>339</v>
      </c>
      <c r="O15" s="10" t="s">
        <v>26</v>
      </c>
      <c r="P15" s="10" t="s">
        <v>1285</v>
      </c>
      <c r="Q15" s="60" t="s">
        <v>32</v>
      </c>
    </row>
    <row r="16" spans="1:35" ht="45">
      <c r="A16" s="275" t="s">
        <v>1068</v>
      </c>
      <c r="B16" s="12" t="s">
        <v>77</v>
      </c>
      <c r="C16" s="14" t="s">
        <v>98</v>
      </c>
      <c r="D16" s="291" t="s">
        <v>1286</v>
      </c>
      <c r="E16" s="287" t="str">
        <f t="shared" si="0"/>
        <v>Lucky Wave</v>
      </c>
      <c r="F16" s="10">
        <v>25</v>
      </c>
      <c r="G16" s="10">
        <v>5</v>
      </c>
      <c r="H16" s="11">
        <v>0.25</v>
      </c>
      <c r="I16" s="11">
        <v>25</v>
      </c>
      <c r="J16" s="11">
        <v>2.5</v>
      </c>
      <c r="K16" s="143" t="s">
        <v>337</v>
      </c>
      <c r="L16" s="143" t="s">
        <v>102</v>
      </c>
      <c r="M16" s="87" t="s">
        <v>338</v>
      </c>
      <c r="N16" s="87" t="s">
        <v>339</v>
      </c>
      <c r="O16" s="10" t="s">
        <v>26</v>
      </c>
      <c r="P16" s="10" t="s">
        <v>1287</v>
      </c>
      <c r="Q16" s="60" t="s">
        <v>32</v>
      </c>
    </row>
    <row r="17" spans="1:17" ht="30">
      <c r="A17" s="275" t="s">
        <v>1288</v>
      </c>
      <c r="B17" s="12" t="s">
        <v>77</v>
      </c>
      <c r="C17" s="14" t="s">
        <v>98</v>
      </c>
      <c r="D17" s="291" t="s">
        <v>1289</v>
      </c>
      <c r="E17" s="287" t="str">
        <f t="shared" si="0"/>
        <v>Olie Fortuin</v>
      </c>
      <c r="F17" s="10">
        <v>10</v>
      </c>
      <c r="G17" s="10">
        <v>5</v>
      </c>
      <c r="H17" s="11">
        <v>0.1</v>
      </c>
      <c r="I17" s="11">
        <v>25</v>
      </c>
      <c r="J17" s="11">
        <v>1</v>
      </c>
      <c r="K17" s="143">
        <v>52500</v>
      </c>
      <c r="L17" s="143" t="s">
        <v>305</v>
      </c>
      <c r="M17" s="87" t="s">
        <v>61</v>
      </c>
      <c r="N17" s="87" t="s">
        <v>828</v>
      </c>
      <c r="O17" s="10" t="s">
        <v>26</v>
      </c>
      <c r="P17" s="280">
        <v>0.13</v>
      </c>
      <c r="Q17" s="60" t="s">
        <v>43</v>
      </c>
    </row>
    <row r="18" spans="1:17" ht="45">
      <c r="A18" s="275" t="s">
        <v>891</v>
      </c>
      <c r="B18" s="12" t="s">
        <v>77</v>
      </c>
      <c r="C18" s="9" t="s">
        <v>20</v>
      </c>
      <c r="D18" s="291" t="s">
        <v>1290</v>
      </c>
      <c r="E18" s="287" t="str">
        <f t="shared" si="0"/>
        <v>Paulo Futre The Last Gladiator</v>
      </c>
      <c r="F18" s="93">
        <v>20</v>
      </c>
      <c r="G18" s="93">
        <v>5</v>
      </c>
      <c r="H18" s="11">
        <v>0.2</v>
      </c>
      <c r="I18" s="15">
        <v>25</v>
      </c>
      <c r="J18" s="15">
        <v>1</v>
      </c>
      <c r="K18" s="259" t="s">
        <v>203</v>
      </c>
      <c r="L18" s="259" t="s">
        <v>126</v>
      </c>
      <c r="M18" s="211" t="s">
        <v>204</v>
      </c>
      <c r="N18" s="87" t="s">
        <v>205</v>
      </c>
      <c r="O18" s="10" t="s">
        <v>26</v>
      </c>
      <c r="P18" s="10" t="s">
        <v>1291</v>
      </c>
      <c r="Q18" s="61" t="s">
        <v>43</v>
      </c>
    </row>
    <row r="19" spans="1:17" ht="30">
      <c r="A19" s="275" t="s">
        <v>515</v>
      </c>
      <c r="B19" s="12" t="s">
        <v>77</v>
      </c>
      <c r="C19" s="9" t="s">
        <v>20</v>
      </c>
      <c r="D19" s="291" t="s">
        <v>1292</v>
      </c>
      <c r="E19" s="287" t="str">
        <f t="shared" si="0"/>
        <v>Samantha Fox</v>
      </c>
      <c r="F19" s="10">
        <v>25</v>
      </c>
      <c r="G19" s="10">
        <v>5</v>
      </c>
      <c r="H19" s="11">
        <v>0.25</v>
      </c>
      <c r="I19" s="11">
        <v>25</v>
      </c>
      <c r="J19" s="11">
        <v>2.5</v>
      </c>
      <c r="K19" s="143">
        <v>27000</v>
      </c>
      <c r="L19" s="143" t="s">
        <v>102</v>
      </c>
      <c r="M19" s="87" t="s">
        <v>147</v>
      </c>
      <c r="N19" s="87" t="s">
        <v>517</v>
      </c>
      <c r="O19" s="10" t="s">
        <v>26</v>
      </c>
      <c r="P19" s="10" t="s">
        <v>1279</v>
      </c>
      <c r="Q19" s="60" t="s">
        <v>43</v>
      </c>
    </row>
    <row r="20" spans="1:17" ht="30">
      <c r="A20" s="275" t="s">
        <v>1293</v>
      </c>
      <c r="B20" s="12" t="s">
        <v>77</v>
      </c>
      <c r="C20" s="9" t="s">
        <v>20</v>
      </c>
      <c r="D20" s="291" t="s">
        <v>1294</v>
      </c>
      <c r="E20" s="287" t="str">
        <f t="shared" si="0"/>
        <v>Sterren Draai</v>
      </c>
      <c r="F20" s="10">
        <v>25</v>
      </c>
      <c r="G20" s="10">
        <v>5</v>
      </c>
      <c r="H20" s="11">
        <v>0.25</v>
      </c>
      <c r="I20" s="11">
        <v>25</v>
      </c>
      <c r="J20" s="11">
        <v>2.5</v>
      </c>
      <c r="K20" s="143">
        <v>28500</v>
      </c>
      <c r="L20" s="143" t="s">
        <v>102</v>
      </c>
      <c r="M20" s="87" t="s">
        <v>310</v>
      </c>
      <c r="N20" s="87" t="s">
        <v>311</v>
      </c>
      <c r="O20" s="10" t="s">
        <v>26</v>
      </c>
      <c r="P20" s="280">
        <v>0.51</v>
      </c>
      <c r="Q20" s="60" t="s">
        <v>43</v>
      </c>
    </row>
    <row r="21" spans="1:17" ht="30">
      <c r="A21" s="275" t="s">
        <v>1295</v>
      </c>
      <c r="B21" s="12" t="s">
        <v>77</v>
      </c>
      <c r="C21" s="9" t="s">
        <v>20</v>
      </c>
      <c r="D21" s="291" t="s">
        <v>1296</v>
      </c>
      <c r="E21" s="287" t="str">
        <f t="shared" si="0"/>
        <v>Sylvia Geersen Golden Throne</v>
      </c>
      <c r="F21" s="10">
        <v>243</v>
      </c>
      <c r="G21" s="10">
        <v>5</v>
      </c>
      <c r="H21" s="11">
        <v>0.3</v>
      </c>
      <c r="I21" s="11">
        <v>6</v>
      </c>
      <c r="J21" s="11">
        <v>1</v>
      </c>
      <c r="K21" s="143">
        <v>38100</v>
      </c>
      <c r="L21" s="143" t="s">
        <v>1297</v>
      </c>
      <c r="M21" s="87" t="s">
        <v>80</v>
      </c>
      <c r="N21" s="87" t="s">
        <v>81</v>
      </c>
      <c r="O21" s="10" t="s">
        <v>26</v>
      </c>
      <c r="P21" s="56">
        <v>3.1699999999999999E-2</v>
      </c>
      <c r="Q21" s="60" t="s">
        <v>27</v>
      </c>
    </row>
    <row r="22" spans="1:17" ht="30">
      <c r="A22" s="275" t="s">
        <v>1145</v>
      </c>
      <c r="B22" s="12" t="s">
        <v>77</v>
      </c>
      <c r="C22" s="14" t="s">
        <v>98</v>
      </c>
      <c r="D22" s="291" t="s">
        <v>1298</v>
      </c>
      <c r="E22" s="287" t="str">
        <f t="shared" si="0"/>
        <v>The Wizard Cat</v>
      </c>
      <c r="F22" s="10">
        <v>20</v>
      </c>
      <c r="G22" s="10">
        <v>5</v>
      </c>
      <c r="H22" s="11">
        <v>0.2</v>
      </c>
      <c r="I22" s="11">
        <v>25</v>
      </c>
      <c r="J22" s="11">
        <v>1</v>
      </c>
      <c r="K22" s="143">
        <v>62500</v>
      </c>
      <c r="L22" s="143" t="s">
        <v>126</v>
      </c>
      <c r="M22" s="87" t="s">
        <v>235</v>
      </c>
      <c r="N22" s="87" t="s">
        <v>62</v>
      </c>
      <c r="O22" s="10" t="s">
        <v>26</v>
      </c>
      <c r="P22" s="10" t="s">
        <v>1299</v>
      </c>
      <c r="Q22" s="60" t="s">
        <v>43</v>
      </c>
    </row>
    <row r="23" spans="1:17" ht="60">
      <c r="A23" s="275" t="s">
        <v>1300</v>
      </c>
      <c r="B23" s="12" t="s">
        <v>77</v>
      </c>
      <c r="C23" s="14" t="s">
        <v>98</v>
      </c>
      <c r="D23" s="291" t="s">
        <v>1301</v>
      </c>
      <c r="E23" s="287" t="str">
        <f t="shared" si="0"/>
        <v>Vikings Conquest</v>
      </c>
      <c r="F23" s="10">
        <v>10</v>
      </c>
      <c r="G23" s="10">
        <v>5</v>
      </c>
      <c r="H23" s="11">
        <v>0.1</v>
      </c>
      <c r="I23" s="11">
        <v>25</v>
      </c>
      <c r="J23" s="11">
        <v>1</v>
      </c>
      <c r="K23" s="143" t="s">
        <v>558</v>
      </c>
      <c r="L23" s="143" t="s">
        <v>305</v>
      </c>
      <c r="M23" s="87" t="s">
        <v>559</v>
      </c>
      <c r="N23" s="87" t="s">
        <v>560</v>
      </c>
      <c r="O23" s="10" t="s">
        <v>26</v>
      </c>
      <c r="P23" s="10" t="s">
        <v>1302</v>
      </c>
      <c r="Q23" s="60" t="s">
        <v>32</v>
      </c>
    </row>
    <row r="24" spans="1:17">
      <c r="A24" s="276" t="s">
        <v>1169</v>
      </c>
      <c r="B24" s="168" t="s">
        <v>77</v>
      </c>
      <c r="C24" s="30" t="s">
        <v>98</v>
      </c>
      <c r="D24" s="292" t="s">
        <v>1303</v>
      </c>
      <c r="E24" s="289" t="str">
        <f t="shared" si="0"/>
        <v>Wild Snow Spin</v>
      </c>
      <c r="F24" s="23">
        <v>10</v>
      </c>
      <c r="G24" s="23">
        <v>5</v>
      </c>
      <c r="H24" s="24">
        <v>0.1</v>
      </c>
      <c r="I24" s="24">
        <v>20</v>
      </c>
      <c r="J24" s="24">
        <v>1</v>
      </c>
      <c r="K24" s="242">
        <v>42000</v>
      </c>
      <c r="L24" s="242" t="s">
        <v>107</v>
      </c>
      <c r="M24" s="247" t="s">
        <v>61</v>
      </c>
      <c r="N24" s="247" t="s">
        <v>108</v>
      </c>
      <c r="O24" s="23" t="s">
        <v>26</v>
      </c>
      <c r="P24" s="23" t="s">
        <v>1304</v>
      </c>
      <c r="Q24" s="63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F1EA-FB77-4186-8F37-5CAC045820A6}">
  <dimension ref="A1:AI28"/>
  <sheetViews>
    <sheetView workbookViewId="0">
      <pane xSplit="2" ySplit="1" topLeftCell="C2" activePane="bottomRight" state="frozen"/>
      <selection pane="bottomRight" activeCell="A4" sqref="A4"/>
      <selection pane="bottomLeft"/>
      <selection pane="topRight"/>
    </sheetView>
  </sheetViews>
  <sheetFormatPr defaultColWidth="9.140625" defaultRowHeight="15"/>
  <cols>
    <col min="1" max="1" width="38.42578125" bestFit="1" customWidth="1"/>
    <col min="2" max="2" width="12.140625" bestFit="1" customWidth="1"/>
    <col min="3" max="3" width="10.28515625" bestFit="1" customWidth="1"/>
    <col min="4" max="4" width="108.28515625" hidden="1" customWidth="1"/>
    <col min="5" max="5" width="28.42578125" style="176" customWidth="1"/>
    <col min="6" max="6" width="10.85546875" style="36" bestFit="1" customWidth="1"/>
    <col min="7" max="7" width="6.140625" style="36" bestFit="1" customWidth="1"/>
    <col min="8" max="8" width="12.5703125" style="281" bestFit="1" customWidth="1"/>
    <col min="9" max="9" width="12.85546875" style="281" bestFit="1" customWidth="1"/>
    <col min="10" max="10" width="15" style="281" customWidth="1"/>
    <col min="11" max="11" width="43.140625" style="271" customWidth="1"/>
    <col min="12" max="12" width="43" style="234" customWidth="1"/>
    <col min="13" max="13" width="37.85546875" style="234" customWidth="1"/>
    <col min="14" max="14" width="47.42578125" style="234" bestFit="1" customWidth="1"/>
    <col min="15" max="15" width="8.28515625" style="36" bestFit="1" customWidth="1"/>
    <col min="16" max="16" width="8.5703125" style="36" bestFit="1" customWidth="1"/>
    <col min="17" max="17" width="13.42578125" style="36" bestFit="1" customWidth="1"/>
  </cols>
  <sheetData>
    <row r="1" spans="1:35" s="71" customFormat="1" ht="31.5">
      <c r="A1" s="314" t="s">
        <v>1252</v>
      </c>
      <c r="B1" s="165" t="s">
        <v>1</v>
      </c>
      <c r="C1" s="72" t="s">
        <v>2</v>
      </c>
      <c r="D1" s="67" t="s">
        <v>4</v>
      </c>
      <c r="E1" s="73" t="s">
        <v>5</v>
      </c>
      <c r="F1" s="122" t="s">
        <v>6</v>
      </c>
      <c r="G1" s="122" t="s">
        <v>7</v>
      </c>
      <c r="H1" s="179" t="s">
        <v>8</v>
      </c>
      <c r="I1" s="179" t="s">
        <v>9</v>
      </c>
      <c r="J1" s="284" t="s">
        <v>10</v>
      </c>
      <c r="K1" s="253" t="s">
        <v>11</v>
      </c>
      <c r="L1" s="244" t="s">
        <v>708</v>
      </c>
      <c r="M1" s="227" t="s">
        <v>13</v>
      </c>
      <c r="N1" s="255" t="s">
        <v>14</v>
      </c>
      <c r="O1" s="117" t="s">
        <v>15</v>
      </c>
      <c r="P1" s="67" t="s">
        <v>16</v>
      </c>
      <c r="Q1" s="122" t="s">
        <v>17</v>
      </c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6"/>
      <c r="AE1" s="76"/>
      <c r="AF1" s="76"/>
      <c r="AG1" s="76"/>
      <c r="AH1" s="76"/>
      <c r="AI1" s="76"/>
    </row>
    <row r="2" spans="1:35" ht="30">
      <c r="A2" s="306" t="s">
        <v>1305</v>
      </c>
      <c r="B2" s="294" t="s">
        <v>19</v>
      </c>
      <c r="C2" s="295" t="s">
        <v>20</v>
      </c>
      <c r="D2" s="310" t="s">
        <v>1306</v>
      </c>
      <c r="E2" s="286" t="str">
        <f t="shared" ref="E2:E28" si="0">HYPERLINK(D2,A2)</f>
        <v>777 Ardente Megaways</v>
      </c>
      <c r="F2" s="74">
        <v>117649</v>
      </c>
      <c r="G2" s="74">
        <v>6</v>
      </c>
      <c r="H2" s="4">
        <v>0.2</v>
      </c>
      <c r="I2" s="4">
        <v>10</v>
      </c>
      <c r="J2" s="4">
        <v>0.2</v>
      </c>
      <c r="K2" s="240" t="s">
        <v>22</v>
      </c>
      <c r="L2" s="134" t="s">
        <v>23</v>
      </c>
      <c r="M2" s="134" t="s">
        <v>24</v>
      </c>
      <c r="N2" s="134" t="s">
        <v>25</v>
      </c>
      <c r="O2" s="74" t="s">
        <v>26</v>
      </c>
      <c r="P2" s="74" t="s">
        <v>1254</v>
      </c>
      <c r="Q2" s="62" t="s">
        <v>27</v>
      </c>
    </row>
    <row r="3" spans="1:35" ht="30">
      <c r="A3" s="307" t="s">
        <v>1307</v>
      </c>
      <c r="B3" s="296" t="s">
        <v>19</v>
      </c>
      <c r="C3" s="297" t="s">
        <v>20</v>
      </c>
      <c r="D3" s="310" t="s">
        <v>1308</v>
      </c>
      <c r="E3" s="287" t="str">
        <f t="shared" si="0"/>
        <v>Campioni di Boxe Megaways</v>
      </c>
      <c r="F3" s="10">
        <v>117649</v>
      </c>
      <c r="G3" s="10">
        <v>6</v>
      </c>
      <c r="H3" s="11">
        <v>0.2</v>
      </c>
      <c r="I3" s="11">
        <v>10</v>
      </c>
      <c r="J3" s="11">
        <v>0.2</v>
      </c>
      <c r="K3" s="143" t="s">
        <v>70</v>
      </c>
      <c r="L3" s="87" t="s">
        <v>23</v>
      </c>
      <c r="M3" s="87" t="s">
        <v>71</v>
      </c>
      <c r="N3" s="87" t="s">
        <v>72</v>
      </c>
      <c r="O3" s="10" t="s">
        <v>26</v>
      </c>
      <c r="P3" s="10" t="s">
        <v>1254</v>
      </c>
      <c r="Q3" s="60" t="s">
        <v>43</v>
      </c>
    </row>
    <row r="4" spans="1:35" ht="30">
      <c r="A4" s="307" t="s">
        <v>958</v>
      </c>
      <c r="B4" s="296" t="s">
        <v>19</v>
      </c>
      <c r="C4" s="297" t="s">
        <v>20</v>
      </c>
      <c r="D4" s="311" t="s">
        <v>1309</v>
      </c>
      <c r="E4" s="287" t="str">
        <f t="shared" si="0"/>
        <v>Far West Mania Megaways</v>
      </c>
      <c r="F4" s="10">
        <v>117649</v>
      </c>
      <c r="G4" s="10">
        <v>6</v>
      </c>
      <c r="H4" s="11">
        <v>0.2</v>
      </c>
      <c r="I4" s="11">
        <v>10</v>
      </c>
      <c r="J4" s="11">
        <v>0.2</v>
      </c>
      <c r="K4" s="143">
        <v>50000</v>
      </c>
      <c r="L4" s="87" t="s">
        <v>23</v>
      </c>
      <c r="M4" s="87" t="s">
        <v>30</v>
      </c>
      <c r="N4" s="87" t="s">
        <v>38</v>
      </c>
      <c r="O4" s="10" t="s">
        <v>26</v>
      </c>
      <c r="P4" s="10" t="s">
        <v>1257</v>
      </c>
      <c r="Q4" s="60" t="s">
        <v>39</v>
      </c>
    </row>
    <row r="5" spans="1:35" ht="30">
      <c r="A5" s="307" t="s">
        <v>1310</v>
      </c>
      <c r="B5" s="296" t="s">
        <v>19</v>
      </c>
      <c r="C5" s="297" t="s">
        <v>20</v>
      </c>
      <c r="D5" s="311" t="s">
        <v>1311</v>
      </c>
      <c r="E5" s="287" t="str">
        <f t="shared" si="0"/>
        <v>Lo Stregone Megaways</v>
      </c>
      <c r="F5" s="10">
        <v>117649</v>
      </c>
      <c r="G5" s="10">
        <v>6</v>
      </c>
      <c r="H5" s="11">
        <v>0.2</v>
      </c>
      <c r="I5" s="11">
        <v>10</v>
      </c>
      <c r="J5" s="11">
        <v>0.2</v>
      </c>
      <c r="K5" s="143" t="s">
        <v>65</v>
      </c>
      <c r="L5" s="87" t="s">
        <v>23</v>
      </c>
      <c r="M5" s="87" t="s">
        <v>66</v>
      </c>
      <c r="N5" s="87" t="s">
        <v>67</v>
      </c>
      <c r="O5" s="10" t="s">
        <v>26</v>
      </c>
      <c r="P5" s="10" t="s">
        <v>1312</v>
      </c>
      <c r="Q5" s="60" t="s">
        <v>43</v>
      </c>
    </row>
    <row r="6" spans="1:35" ht="30">
      <c r="A6" s="307" t="s">
        <v>1313</v>
      </c>
      <c r="B6" s="296" t="s">
        <v>19</v>
      </c>
      <c r="C6" s="297" t="s">
        <v>20</v>
      </c>
      <c r="D6" s="311" t="s">
        <v>1314</v>
      </c>
      <c r="E6" s="287" t="str">
        <f t="shared" si="0"/>
        <v>Mare Dorato Megaways</v>
      </c>
      <c r="F6" s="10">
        <v>117649</v>
      </c>
      <c r="G6" s="10">
        <v>7</v>
      </c>
      <c r="H6" s="11">
        <v>0.2</v>
      </c>
      <c r="I6" s="11">
        <v>10</v>
      </c>
      <c r="J6" s="11">
        <v>0.2</v>
      </c>
      <c r="K6" s="143" t="s">
        <v>65</v>
      </c>
      <c r="L6" s="87" t="s">
        <v>23</v>
      </c>
      <c r="M6" s="87" t="s">
        <v>66</v>
      </c>
      <c r="N6" s="87" t="s">
        <v>67</v>
      </c>
      <c r="O6" s="10" t="s">
        <v>26</v>
      </c>
      <c r="P6" s="10" t="s">
        <v>1254</v>
      </c>
      <c r="Q6" s="60" t="s">
        <v>43</v>
      </c>
    </row>
    <row r="7" spans="1:35" ht="30">
      <c r="A7" s="307" t="s">
        <v>1315</v>
      </c>
      <c r="B7" s="296" t="s">
        <v>19</v>
      </c>
      <c r="C7" s="297" t="s">
        <v>20</v>
      </c>
      <c r="D7" s="311" t="s">
        <v>1316</v>
      </c>
      <c r="E7" s="287" t="str">
        <f t="shared" si="0"/>
        <v>Miniera D’Oro Mania Megaways</v>
      </c>
      <c r="F7" s="10">
        <v>117649</v>
      </c>
      <c r="G7" s="10">
        <v>6</v>
      </c>
      <c r="H7" s="11">
        <v>0.2</v>
      </c>
      <c r="I7" s="11">
        <v>10</v>
      </c>
      <c r="J7" s="11">
        <v>0.2</v>
      </c>
      <c r="K7" s="143">
        <v>21000</v>
      </c>
      <c r="L7" s="87" t="s">
        <v>23</v>
      </c>
      <c r="M7" s="87" t="s">
        <v>61</v>
      </c>
      <c r="N7" s="87" t="s">
        <v>62</v>
      </c>
      <c r="O7" s="10" t="s">
        <v>26</v>
      </c>
      <c r="P7" s="10" t="s">
        <v>1261</v>
      </c>
      <c r="Q7" s="60" t="s">
        <v>43</v>
      </c>
    </row>
    <row r="8" spans="1:35" ht="30">
      <c r="A8" s="308" t="s">
        <v>1317</v>
      </c>
      <c r="B8" s="298" t="s">
        <v>19</v>
      </c>
      <c r="C8" s="299" t="s">
        <v>20</v>
      </c>
      <c r="D8" s="311" t="s">
        <v>1318</v>
      </c>
      <c r="E8" s="288" t="str">
        <f t="shared" si="0"/>
        <v>Prenditi il denaro Megaways</v>
      </c>
      <c r="F8" s="150">
        <v>117649</v>
      </c>
      <c r="G8" s="150">
        <v>7</v>
      </c>
      <c r="H8" s="112">
        <v>0.2</v>
      </c>
      <c r="I8" s="112">
        <v>10</v>
      </c>
      <c r="J8" s="112">
        <v>0.2</v>
      </c>
      <c r="K8" s="241">
        <v>50000</v>
      </c>
      <c r="L8" s="222" t="s">
        <v>23</v>
      </c>
      <c r="M8" s="222" t="s">
        <v>30</v>
      </c>
      <c r="N8" s="222" t="s">
        <v>42</v>
      </c>
      <c r="O8" s="150" t="s">
        <v>26</v>
      </c>
      <c r="P8" s="150" t="s">
        <v>1319</v>
      </c>
      <c r="Q8" s="116" t="s">
        <v>43</v>
      </c>
    </row>
    <row r="9" spans="1:35" ht="60">
      <c r="A9" s="306" t="s">
        <v>1320</v>
      </c>
      <c r="B9" s="300" t="s">
        <v>77</v>
      </c>
      <c r="C9" s="301" t="s">
        <v>98</v>
      </c>
      <c r="D9" s="311" t="s">
        <v>1321</v>
      </c>
      <c r="E9" s="286" t="str">
        <f t="shared" si="0"/>
        <v>Conquista dei Vichinghi</v>
      </c>
      <c r="F9" s="74">
        <v>10</v>
      </c>
      <c r="G9" s="74">
        <v>5</v>
      </c>
      <c r="H9" s="4">
        <v>0.1</v>
      </c>
      <c r="I9" s="4">
        <v>25</v>
      </c>
      <c r="J9" s="4">
        <v>1</v>
      </c>
      <c r="K9" s="240" t="s">
        <v>558</v>
      </c>
      <c r="L9" s="134" t="s">
        <v>305</v>
      </c>
      <c r="M9" s="134" t="s">
        <v>559</v>
      </c>
      <c r="N9" s="134" t="s">
        <v>560</v>
      </c>
      <c r="O9" s="74" t="s">
        <v>26</v>
      </c>
      <c r="P9" s="74" t="s">
        <v>1302</v>
      </c>
      <c r="Q9" s="62" t="s">
        <v>32</v>
      </c>
    </row>
    <row r="10" spans="1:35" ht="45">
      <c r="A10" s="307" t="s">
        <v>1322</v>
      </c>
      <c r="B10" s="302" t="s">
        <v>77</v>
      </c>
      <c r="C10" s="303" t="s">
        <v>98</v>
      </c>
      <c r="D10" s="311" t="s">
        <v>1323</v>
      </c>
      <c r="E10" s="287" t="str">
        <f t="shared" si="0"/>
        <v>Dio dei Mari</v>
      </c>
      <c r="F10" s="10">
        <v>20</v>
      </c>
      <c r="G10" s="10">
        <v>5</v>
      </c>
      <c r="H10" s="11">
        <v>0.25</v>
      </c>
      <c r="I10" s="11">
        <v>25</v>
      </c>
      <c r="J10" s="11">
        <v>1</v>
      </c>
      <c r="K10" s="143">
        <v>9375</v>
      </c>
      <c r="L10" s="87" t="s">
        <v>800</v>
      </c>
      <c r="M10" s="87" t="s">
        <v>580</v>
      </c>
      <c r="N10" s="87" t="s">
        <v>1282</v>
      </c>
      <c r="O10" s="10" t="s">
        <v>26</v>
      </c>
      <c r="P10" s="10" t="s">
        <v>1279</v>
      </c>
      <c r="Q10" s="60" t="s">
        <v>27</v>
      </c>
    </row>
    <row r="11" spans="1:35" ht="45">
      <c r="A11" s="307" t="s">
        <v>1324</v>
      </c>
      <c r="B11" s="302" t="s">
        <v>77</v>
      </c>
      <c r="C11" s="297" t="s">
        <v>20</v>
      </c>
      <c r="D11" s="311" t="s">
        <v>1325</v>
      </c>
      <c r="E11" s="287" t="str">
        <f t="shared" si="0"/>
        <v>Elena Morali Mistero nel Circo</v>
      </c>
      <c r="F11" s="10">
        <v>25</v>
      </c>
      <c r="G11" s="10">
        <v>5</v>
      </c>
      <c r="H11" s="11">
        <v>0.25</v>
      </c>
      <c r="I11" s="11">
        <v>25</v>
      </c>
      <c r="J11" s="11">
        <v>2.5</v>
      </c>
      <c r="K11" s="143" t="s">
        <v>337</v>
      </c>
      <c r="L11" s="87" t="s">
        <v>102</v>
      </c>
      <c r="M11" s="87" t="s">
        <v>338</v>
      </c>
      <c r="N11" s="87" t="s">
        <v>339</v>
      </c>
      <c r="O11" s="10" t="s">
        <v>26</v>
      </c>
      <c r="P11" s="10" t="s">
        <v>1285</v>
      </c>
      <c r="Q11" s="60" t="s">
        <v>32</v>
      </c>
    </row>
    <row r="12" spans="1:35" ht="30">
      <c r="A12" s="307" t="s">
        <v>1326</v>
      </c>
      <c r="B12" s="302" t="s">
        <v>77</v>
      </c>
      <c r="C12" s="297" t="s">
        <v>20</v>
      </c>
      <c r="D12" s="311" t="s">
        <v>1327</v>
      </c>
      <c r="E12" s="287" t="str">
        <f t="shared" si="0"/>
        <v>Elena Rizzelo Regina del Ghiaccio</v>
      </c>
      <c r="F12" s="10">
        <v>243</v>
      </c>
      <c r="G12" s="10">
        <v>5</v>
      </c>
      <c r="H12" s="11">
        <v>0.3</v>
      </c>
      <c r="I12" s="11">
        <v>6</v>
      </c>
      <c r="J12" s="11">
        <v>0.9</v>
      </c>
      <c r="K12" s="143">
        <v>14985</v>
      </c>
      <c r="L12" s="211" t="s">
        <v>79</v>
      </c>
      <c r="M12" s="87" t="s">
        <v>436</v>
      </c>
      <c r="N12" s="211" t="s">
        <v>437</v>
      </c>
      <c r="O12" s="93" t="s">
        <v>26</v>
      </c>
      <c r="P12" s="10" t="s">
        <v>1267</v>
      </c>
      <c r="Q12" s="60" t="s">
        <v>27</v>
      </c>
    </row>
    <row r="13" spans="1:35" ht="30">
      <c r="A13" s="307" t="s">
        <v>1328</v>
      </c>
      <c r="B13" s="302" t="s">
        <v>77</v>
      </c>
      <c r="C13" s="297" t="s">
        <v>20</v>
      </c>
      <c r="D13" s="311" t="s">
        <v>1329</v>
      </c>
      <c r="E13" s="287" t="str">
        <f t="shared" si="0"/>
        <v>Floriana Messina Comandante Nemo</v>
      </c>
      <c r="F13" s="10">
        <v>10</v>
      </c>
      <c r="G13" s="10">
        <v>5</v>
      </c>
      <c r="H13" s="11">
        <v>0.1</v>
      </c>
      <c r="I13" s="11">
        <v>25</v>
      </c>
      <c r="J13" s="11">
        <v>1</v>
      </c>
      <c r="K13" s="143">
        <v>37750</v>
      </c>
      <c r="L13" s="211" t="s">
        <v>305</v>
      </c>
      <c r="M13" s="87" t="s">
        <v>306</v>
      </c>
      <c r="N13" s="211" t="s">
        <v>307</v>
      </c>
      <c r="O13" s="93" t="s">
        <v>26</v>
      </c>
      <c r="P13" s="10" t="s">
        <v>1267</v>
      </c>
      <c r="Q13" s="60" t="s">
        <v>27</v>
      </c>
    </row>
    <row r="14" spans="1:35" ht="30">
      <c r="A14" s="307" t="s">
        <v>1330</v>
      </c>
      <c r="B14" s="302" t="s">
        <v>77</v>
      </c>
      <c r="C14" s="303" t="s">
        <v>98</v>
      </c>
      <c r="D14" s="311" t="s">
        <v>1331</v>
      </c>
      <c r="E14" s="287" t="str">
        <f t="shared" si="0"/>
        <v>Fortuna del Petrolio</v>
      </c>
      <c r="F14" s="10">
        <v>10</v>
      </c>
      <c r="G14" s="10">
        <v>5</v>
      </c>
      <c r="H14" s="11">
        <v>0.1</v>
      </c>
      <c r="I14" s="11">
        <v>25</v>
      </c>
      <c r="J14" s="11">
        <v>1</v>
      </c>
      <c r="K14" s="143">
        <v>52500</v>
      </c>
      <c r="L14" s="211" t="s">
        <v>305</v>
      </c>
      <c r="M14" s="87" t="s">
        <v>61</v>
      </c>
      <c r="N14" s="211" t="s">
        <v>828</v>
      </c>
      <c r="O14" s="93" t="s">
        <v>26</v>
      </c>
      <c r="P14" s="10" t="s">
        <v>1272</v>
      </c>
      <c r="Q14" s="60" t="s">
        <v>43</v>
      </c>
    </row>
    <row r="15" spans="1:35" ht="30">
      <c r="A15" s="307" t="s">
        <v>1332</v>
      </c>
      <c r="B15" s="302" t="s">
        <v>77</v>
      </c>
      <c r="C15" s="297" t="s">
        <v>20</v>
      </c>
      <c r="D15" s="311" t="s">
        <v>1333</v>
      </c>
      <c r="E15" s="287" t="str">
        <f t="shared" si="0"/>
        <v>Giro Astrale</v>
      </c>
      <c r="F15" s="10">
        <v>25</v>
      </c>
      <c r="G15" s="10">
        <v>5</v>
      </c>
      <c r="H15" s="11">
        <v>0.25</v>
      </c>
      <c r="I15" s="11">
        <v>25</v>
      </c>
      <c r="J15" s="11">
        <v>2.5</v>
      </c>
      <c r="K15" s="143">
        <v>28500</v>
      </c>
      <c r="L15" s="211" t="s">
        <v>102</v>
      </c>
      <c r="M15" s="87" t="s">
        <v>310</v>
      </c>
      <c r="N15" s="211" t="s">
        <v>311</v>
      </c>
      <c r="O15" s="93" t="s">
        <v>26</v>
      </c>
      <c r="P15" s="10" t="s">
        <v>1334</v>
      </c>
      <c r="Q15" s="60" t="s">
        <v>43</v>
      </c>
    </row>
    <row r="16" spans="1:35" ht="30">
      <c r="A16" s="307" t="s">
        <v>1335</v>
      </c>
      <c r="B16" s="302" t="s">
        <v>77</v>
      </c>
      <c r="C16" s="297" t="s">
        <v>20</v>
      </c>
      <c r="D16" s="311" t="s">
        <v>1336</v>
      </c>
      <c r="E16" s="287" t="str">
        <f t="shared" si="0"/>
        <v>Il Bandito Esplosivo</v>
      </c>
      <c r="F16" s="10">
        <v>10</v>
      </c>
      <c r="G16" s="10">
        <v>5</v>
      </c>
      <c r="H16" s="11">
        <v>0.1</v>
      </c>
      <c r="I16" s="11">
        <v>25</v>
      </c>
      <c r="J16" s="11">
        <v>1</v>
      </c>
      <c r="K16" s="143">
        <v>52500</v>
      </c>
      <c r="L16" s="211" t="s">
        <v>305</v>
      </c>
      <c r="M16" s="87" t="s">
        <v>61</v>
      </c>
      <c r="N16" s="211" t="s">
        <v>865</v>
      </c>
      <c r="O16" s="93" t="s">
        <v>26</v>
      </c>
      <c r="P16" s="10" t="s">
        <v>1337</v>
      </c>
      <c r="Q16" s="60" t="s">
        <v>43</v>
      </c>
    </row>
    <row r="17" spans="1:17" ht="30">
      <c r="A17" s="307" t="s">
        <v>1338</v>
      </c>
      <c r="B17" s="302" t="s">
        <v>77</v>
      </c>
      <c r="C17" s="303" t="s">
        <v>98</v>
      </c>
      <c r="D17" s="311" t="s">
        <v>1339</v>
      </c>
      <c r="E17" s="287" t="str">
        <f t="shared" si="0"/>
        <v>Il Gatto Magico</v>
      </c>
      <c r="F17" s="10">
        <v>20</v>
      </c>
      <c r="G17" s="10">
        <v>5</v>
      </c>
      <c r="H17" s="11">
        <v>0.2</v>
      </c>
      <c r="I17" s="11">
        <v>25</v>
      </c>
      <c r="J17" s="11">
        <v>1</v>
      </c>
      <c r="K17" s="143">
        <v>62500</v>
      </c>
      <c r="L17" s="87" t="s">
        <v>126</v>
      </c>
      <c r="M17" s="87" t="s">
        <v>235</v>
      </c>
      <c r="N17" s="87" t="s">
        <v>62</v>
      </c>
      <c r="O17" s="10" t="s">
        <v>26</v>
      </c>
      <c r="P17" s="10" t="s">
        <v>1299</v>
      </c>
      <c r="Q17" s="60" t="s">
        <v>43</v>
      </c>
    </row>
    <row r="18" spans="1:17" ht="45">
      <c r="A18" s="307" t="s">
        <v>1340</v>
      </c>
      <c r="B18" s="302" t="s">
        <v>77</v>
      </c>
      <c r="C18" s="297" t="s">
        <v>20</v>
      </c>
      <c r="D18" s="311" t="s">
        <v>1341</v>
      </c>
      <c r="E18" s="287" t="str">
        <f t="shared" si="0"/>
        <v>Jessica Weaver Regina dei Mari</v>
      </c>
      <c r="F18" s="10">
        <v>25</v>
      </c>
      <c r="G18" s="10">
        <v>5</v>
      </c>
      <c r="H18" s="11">
        <v>0.25</v>
      </c>
      <c r="I18" s="11">
        <v>25</v>
      </c>
      <c r="J18" s="11">
        <v>2.5</v>
      </c>
      <c r="K18" s="143" t="s">
        <v>337</v>
      </c>
      <c r="L18" s="211" t="s">
        <v>102</v>
      </c>
      <c r="M18" s="87" t="s">
        <v>338</v>
      </c>
      <c r="N18" s="211" t="s">
        <v>339</v>
      </c>
      <c r="O18" s="93" t="s">
        <v>26</v>
      </c>
      <c r="P18" s="10" t="s">
        <v>1285</v>
      </c>
      <c r="Q18" s="60" t="s">
        <v>32</v>
      </c>
    </row>
    <row r="19" spans="1:17" ht="45">
      <c r="A19" s="307" t="s">
        <v>1342</v>
      </c>
      <c r="B19" s="302" t="s">
        <v>77</v>
      </c>
      <c r="C19" s="297" t="s">
        <v>20</v>
      </c>
      <c r="D19" s="311" t="s">
        <v>1343</v>
      </c>
      <c r="E19" s="287" t="str">
        <f t="shared" si="0"/>
        <v>Jolanda de Rienzo il Pianeta delle Gemme</v>
      </c>
      <c r="F19" s="10">
        <v>20</v>
      </c>
      <c r="G19" s="10">
        <v>5</v>
      </c>
      <c r="H19" s="11">
        <v>0.2</v>
      </c>
      <c r="I19" s="11">
        <v>25</v>
      </c>
      <c r="J19" s="11">
        <v>1</v>
      </c>
      <c r="K19" s="143" t="s">
        <v>531</v>
      </c>
      <c r="L19" s="211" t="s">
        <v>126</v>
      </c>
      <c r="M19" s="87" t="s">
        <v>532</v>
      </c>
      <c r="N19" s="211" t="s">
        <v>205</v>
      </c>
      <c r="O19" s="93" t="s">
        <v>26</v>
      </c>
      <c r="P19" s="10" t="s">
        <v>1344</v>
      </c>
      <c r="Q19" s="60" t="s">
        <v>43</v>
      </c>
    </row>
    <row r="20" spans="1:17" ht="30">
      <c r="A20" s="307" t="s">
        <v>1345</v>
      </c>
      <c r="B20" s="302" t="s">
        <v>77</v>
      </c>
      <c r="C20" s="297" t="s">
        <v>20</v>
      </c>
      <c r="D20" s="311" t="s">
        <v>1346</v>
      </c>
      <c r="E20" s="287" t="str">
        <f t="shared" si="0"/>
        <v>Marina Evangelista Dea Jade</v>
      </c>
      <c r="F20" s="10">
        <v>25</v>
      </c>
      <c r="G20" s="10">
        <v>5</v>
      </c>
      <c r="H20" s="11">
        <v>0.25</v>
      </c>
      <c r="I20" s="11">
        <v>25</v>
      </c>
      <c r="J20" s="11">
        <v>2.5</v>
      </c>
      <c r="K20" s="143">
        <v>26000</v>
      </c>
      <c r="L20" s="211" t="s">
        <v>102</v>
      </c>
      <c r="M20" s="87" t="s">
        <v>103</v>
      </c>
      <c r="N20" s="211" t="s">
        <v>104</v>
      </c>
      <c r="O20" s="93" t="s">
        <v>26</v>
      </c>
      <c r="P20" s="91" t="s">
        <v>1347</v>
      </c>
      <c r="Q20" s="60" t="s">
        <v>27</v>
      </c>
    </row>
    <row r="21" spans="1:17" ht="45">
      <c r="A21" s="307" t="s">
        <v>1348</v>
      </c>
      <c r="B21" s="302" t="s">
        <v>77</v>
      </c>
      <c r="C21" s="303" t="s">
        <v>98</v>
      </c>
      <c r="D21" s="311" t="s">
        <v>1349</v>
      </c>
      <c r="E21" s="287" t="str">
        <f t="shared" si="0"/>
        <v>Onda Fortunata</v>
      </c>
      <c r="F21" s="10">
        <v>25</v>
      </c>
      <c r="G21" s="10">
        <v>5</v>
      </c>
      <c r="H21" s="11">
        <v>0.25</v>
      </c>
      <c r="I21" s="11">
        <v>25</v>
      </c>
      <c r="J21" s="11">
        <v>2.5</v>
      </c>
      <c r="K21" s="143" t="s">
        <v>337</v>
      </c>
      <c r="L21" s="211" t="s">
        <v>102</v>
      </c>
      <c r="M21" s="87" t="s">
        <v>338</v>
      </c>
      <c r="N21" s="211" t="s">
        <v>339</v>
      </c>
      <c r="O21" s="93" t="s">
        <v>26</v>
      </c>
      <c r="P21" s="10" t="s">
        <v>1287</v>
      </c>
      <c r="Q21" s="60" t="s">
        <v>32</v>
      </c>
    </row>
    <row r="22" spans="1:17" ht="45">
      <c r="A22" s="307" t="s">
        <v>1350</v>
      </c>
      <c r="B22" s="302" t="s">
        <v>77</v>
      </c>
      <c r="C22" s="297" t="s">
        <v>20</v>
      </c>
      <c r="D22" s="311" t="s">
        <v>1351</v>
      </c>
      <c r="E22" s="287" t="str">
        <f t="shared" si="0"/>
        <v>Paulo Futre l'Ultimo Gladiatore</v>
      </c>
      <c r="F22" s="93">
        <v>20</v>
      </c>
      <c r="G22" s="93">
        <v>5</v>
      </c>
      <c r="H22" s="11">
        <v>0.2</v>
      </c>
      <c r="I22" s="15">
        <v>25</v>
      </c>
      <c r="J22" s="15">
        <v>1</v>
      </c>
      <c r="K22" s="259" t="s">
        <v>203</v>
      </c>
      <c r="L22" s="211" t="s">
        <v>126</v>
      </c>
      <c r="M22" s="211" t="s">
        <v>204</v>
      </c>
      <c r="N22" s="211" t="s">
        <v>205</v>
      </c>
      <c r="O22" s="93" t="s">
        <v>26</v>
      </c>
      <c r="P22" s="93" t="s">
        <v>1291</v>
      </c>
      <c r="Q22" s="61" t="s">
        <v>43</v>
      </c>
    </row>
    <row r="23" spans="1:17" ht="30">
      <c r="A23" s="307" t="s">
        <v>1352</v>
      </c>
      <c r="B23" s="302" t="s">
        <v>77</v>
      </c>
      <c r="C23" s="303" t="s">
        <v>98</v>
      </c>
      <c r="D23" s="311" t="s">
        <v>1353</v>
      </c>
      <c r="E23" s="287" t="str">
        <f t="shared" si="0"/>
        <v>Regina di Persia</v>
      </c>
      <c r="F23" s="10">
        <v>243</v>
      </c>
      <c r="G23" s="10">
        <v>5</v>
      </c>
      <c r="H23" s="11">
        <v>0.3</v>
      </c>
      <c r="I23" s="11">
        <v>6</v>
      </c>
      <c r="J23" s="11">
        <v>0.9</v>
      </c>
      <c r="K23" s="143">
        <v>38100</v>
      </c>
      <c r="L23" s="211" t="s">
        <v>79</v>
      </c>
      <c r="M23" s="87" t="s">
        <v>80</v>
      </c>
      <c r="N23" s="211" t="s">
        <v>81</v>
      </c>
      <c r="O23" s="93" t="s">
        <v>26</v>
      </c>
      <c r="P23" s="10" t="s">
        <v>1354</v>
      </c>
      <c r="Q23" s="60" t="s">
        <v>27</v>
      </c>
    </row>
    <row r="24" spans="1:17" ht="30">
      <c r="A24" s="307" t="s">
        <v>1355</v>
      </c>
      <c r="B24" s="302" t="s">
        <v>77</v>
      </c>
      <c r="C24" s="297" t="s">
        <v>20</v>
      </c>
      <c r="D24" s="311" t="s">
        <v>1356</v>
      </c>
      <c r="E24" s="287" t="str">
        <f t="shared" si="0"/>
        <v>Ricchezze dell'Alchimia</v>
      </c>
      <c r="F24" s="10">
        <v>25</v>
      </c>
      <c r="G24" s="10">
        <v>5</v>
      </c>
      <c r="H24" s="11">
        <v>0.25</v>
      </c>
      <c r="I24" s="11">
        <v>25</v>
      </c>
      <c r="J24" s="11">
        <v>2.5</v>
      </c>
      <c r="K24" s="143">
        <v>50000</v>
      </c>
      <c r="L24" s="211" t="s">
        <v>102</v>
      </c>
      <c r="M24" s="87" t="s">
        <v>501</v>
      </c>
      <c r="N24" s="211" t="s">
        <v>502</v>
      </c>
      <c r="O24" s="93" t="s">
        <v>26</v>
      </c>
      <c r="P24" s="10" t="s">
        <v>1357</v>
      </c>
      <c r="Q24" s="60" t="s">
        <v>39</v>
      </c>
    </row>
    <row r="25" spans="1:17" ht="30">
      <c r="A25" s="307" t="s">
        <v>515</v>
      </c>
      <c r="B25" s="302" t="s">
        <v>77</v>
      </c>
      <c r="C25" s="297" t="s">
        <v>20</v>
      </c>
      <c r="D25" s="311" t="s">
        <v>1358</v>
      </c>
      <c r="E25" s="287" t="str">
        <f t="shared" si="0"/>
        <v>Samantha Fox</v>
      </c>
      <c r="F25" s="10">
        <v>25</v>
      </c>
      <c r="G25" s="10">
        <v>5</v>
      </c>
      <c r="H25" s="11">
        <v>0.25</v>
      </c>
      <c r="I25" s="11">
        <v>25</v>
      </c>
      <c r="J25" s="11">
        <v>2.5</v>
      </c>
      <c r="K25" s="143">
        <v>27000</v>
      </c>
      <c r="L25" s="211" t="s">
        <v>102</v>
      </c>
      <c r="M25" s="87" t="s">
        <v>147</v>
      </c>
      <c r="N25" s="211" t="s">
        <v>517</v>
      </c>
      <c r="O25" s="93" t="s">
        <v>26</v>
      </c>
      <c r="P25" s="10" t="s">
        <v>1279</v>
      </c>
      <c r="Q25" s="60" t="s">
        <v>43</v>
      </c>
    </row>
    <row r="26" spans="1:17">
      <c r="A26" s="307" t="s">
        <v>1359</v>
      </c>
      <c r="B26" s="302" t="s">
        <v>77</v>
      </c>
      <c r="C26" s="303" t="s">
        <v>98</v>
      </c>
      <c r="D26" s="311" t="s">
        <v>1360</v>
      </c>
      <c r="E26" s="287" t="str">
        <f t="shared" si="0"/>
        <v>Signora Fortuna</v>
      </c>
      <c r="F26" s="10">
        <v>25</v>
      </c>
      <c r="G26" s="10">
        <v>5</v>
      </c>
      <c r="H26" s="11">
        <v>0.25</v>
      </c>
      <c r="I26" s="11">
        <v>25</v>
      </c>
      <c r="J26" s="11">
        <v>1</v>
      </c>
      <c r="K26" s="143">
        <v>57004</v>
      </c>
      <c r="L26" s="211" t="s">
        <v>1361</v>
      </c>
      <c r="M26" s="87" t="s">
        <v>1001</v>
      </c>
      <c r="N26" s="211" t="s">
        <v>1362</v>
      </c>
      <c r="O26" s="93" t="s">
        <v>26</v>
      </c>
      <c r="P26" s="10" t="s">
        <v>1363</v>
      </c>
      <c r="Q26" s="60" t="s">
        <v>43</v>
      </c>
    </row>
    <row r="27" spans="1:17" ht="30">
      <c r="A27" s="307" t="s">
        <v>1364</v>
      </c>
      <c r="B27" s="302" t="s">
        <v>77</v>
      </c>
      <c r="C27" s="303" t="s">
        <v>98</v>
      </c>
      <c r="D27" s="311" t="s">
        <v>1365</v>
      </c>
      <c r="E27" s="287" t="str">
        <f t="shared" si="0"/>
        <v>Trono Dorato</v>
      </c>
      <c r="F27" s="10">
        <v>243</v>
      </c>
      <c r="G27" s="10">
        <v>5</v>
      </c>
      <c r="H27" s="11">
        <v>0.3</v>
      </c>
      <c r="I27" s="11">
        <v>6</v>
      </c>
      <c r="J27" s="11">
        <v>1</v>
      </c>
      <c r="K27" s="143">
        <v>38100</v>
      </c>
      <c r="L27" s="211" t="s">
        <v>1297</v>
      </c>
      <c r="M27" s="87" t="s">
        <v>80</v>
      </c>
      <c r="N27" s="211" t="s">
        <v>81</v>
      </c>
      <c r="O27" s="93" t="s">
        <v>26</v>
      </c>
      <c r="P27" s="56">
        <v>3.1699999999999999E-2</v>
      </c>
      <c r="Q27" s="60" t="s">
        <v>27</v>
      </c>
    </row>
    <row r="28" spans="1:17" ht="30">
      <c r="A28" s="309" t="s">
        <v>1366</v>
      </c>
      <c r="B28" s="304" t="s">
        <v>77</v>
      </c>
      <c r="C28" s="305" t="s">
        <v>98</v>
      </c>
      <c r="D28" s="311" t="s">
        <v>1367</v>
      </c>
      <c r="E28" s="289" t="str">
        <f t="shared" si="0"/>
        <v>Valanga Selvaggia</v>
      </c>
      <c r="F28" s="23">
        <v>10</v>
      </c>
      <c r="G28" s="23">
        <v>5</v>
      </c>
      <c r="H28" s="24">
        <v>0.1</v>
      </c>
      <c r="I28" s="24">
        <v>20</v>
      </c>
      <c r="J28" s="24">
        <v>1</v>
      </c>
      <c r="K28" s="242">
        <v>42000</v>
      </c>
      <c r="L28" s="247" t="s">
        <v>107</v>
      </c>
      <c r="M28" s="247" t="s">
        <v>61</v>
      </c>
      <c r="N28" s="247" t="s">
        <v>108</v>
      </c>
      <c r="O28" s="23" t="s">
        <v>26</v>
      </c>
      <c r="P28" s="23" t="s">
        <v>1304</v>
      </c>
      <c r="Q28" s="63" t="s">
        <v>43</v>
      </c>
    </row>
  </sheetData>
  <hyperlinks>
    <hyperlink ref="D2" r:id="rId1" xr:uid="{83107A4F-16ED-4145-ACB0-A0339AC80E56}"/>
    <hyperlink ref="D3" r:id="rId2" xr:uid="{5499EC1C-5DE3-4150-ADB8-95CC55E4D7F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79353-97A7-478B-BE2C-9E7490875B64}">
  <dimension ref="A1:AK35"/>
  <sheetViews>
    <sheetView workbookViewId="0">
      <pane xSplit="2" ySplit="1" topLeftCell="C2" activePane="bottomRight" state="frozen"/>
      <selection pane="bottomRight" activeCell="N8" sqref="N8"/>
      <selection pane="bottomLeft"/>
      <selection pane="topRight"/>
    </sheetView>
  </sheetViews>
  <sheetFormatPr defaultColWidth="9.140625" defaultRowHeight="15"/>
  <cols>
    <col min="1" max="1" width="33.42578125" style="6" bestFit="1" customWidth="1"/>
    <col min="2" max="2" width="13" style="2" bestFit="1" customWidth="1"/>
    <col min="3" max="3" width="13.7109375" style="2" bestFit="1" customWidth="1"/>
    <col min="4" max="4" width="65.7109375" style="36" hidden="1" customWidth="1"/>
    <col min="5" max="5" width="32.5703125" style="2" bestFit="1" customWidth="1"/>
    <col min="6" max="7" width="32.5703125" style="36" hidden="1" customWidth="1"/>
    <col min="8" max="8" width="9.85546875" style="36" bestFit="1" customWidth="1"/>
    <col min="9" max="9" width="6.140625" style="36" bestFit="1" customWidth="1"/>
    <col min="10" max="10" width="23" style="159" bestFit="1" customWidth="1"/>
    <col min="11" max="11" width="20.28515625" style="159" bestFit="1" customWidth="1"/>
    <col min="12" max="12" width="20.28515625" style="159" customWidth="1"/>
    <col min="13" max="13" width="94.7109375" style="36" customWidth="1"/>
    <col min="14" max="14" width="94.140625" style="36" bestFit="1" customWidth="1"/>
    <col min="15" max="15" width="107.140625" style="36" customWidth="1"/>
    <col min="16" max="16" width="47.85546875" style="36" customWidth="1"/>
    <col min="17" max="17" width="8.28515625" style="36" customWidth="1"/>
    <col min="18" max="18" width="9.42578125" style="36" bestFit="1" customWidth="1"/>
    <col min="19" max="19" width="9.140625" style="36"/>
    <col min="20" max="16384" width="9.140625" style="6"/>
  </cols>
  <sheetData>
    <row r="1" spans="1:37" ht="31.5">
      <c r="A1" s="314" t="s">
        <v>1252</v>
      </c>
      <c r="B1" s="117" t="s">
        <v>1</v>
      </c>
      <c r="C1" s="67" t="s">
        <v>2</v>
      </c>
      <c r="D1" s="67" t="s">
        <v>4</v>
      </c>
      <c r="E1" s="121" t="s">
        <v>5</v>
      </c>
      <c r="F1" s="67" t="s">
        <v>1368</v>
      </c>
      <c r="G1" s="67" t="s">
        <v>1369</v>
      </c>
      <c r="H1" s="122" t="s">
        <v>6</v>
      </c>
      <c r="I1" s="122" t="s">
        <v>7</v>
      </c>
      <c r="J1" s="123" t="s">
        <v>1370</v>
      </c>
      <c r="K1" s="123" t="s">
        <v>1371</v>
      </c>
      <c r="L1" s="123" t="s">
        <v>1372</v>
      </c>
      <c r="M1" s="122" t="s">
        <v>1373</v>
      </c>
      <c r="N1" s="117" t="s">
        <v>1374</v>
      </c>
      <c r="O1" s="122" t="s">
        <v>13</v>
      </c>
      <c r="P1" s="117" t="s">
        <v>14</v>
      </c>
      <c r="Q1" s="117" t="s">
        <v>15</v>
      </c>
      <c r="R1" s="67" t="s">
        <v>16</v>
      </c>
      <c r="S1" s="122" t="s">
        <v>17</v>
      </c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124"/>
      <c r="AG1" s="124"/>
      <c r="AH1" s="124"/>
      <c r="AI1" s="124"/>
      <c r="AJ1" s="124"/>
      <c r="AK1" s="124"/>
    </row>
    <row r="2" spans="1:37" ht="45">
      <c r="A2" s="125" t="s">
        <v>1375</v>
      </c>
      <c r="B2" s="126" t="s">
        <v>19</v>
      </c>
      <c r="C2" s="127" t="s">
        <v>20</v>
      </c>
      <c r="D2" s="128" t="s">
        <v>1376</v>
      </c>
      <c r="E2" s="215" t="str">
        <f t="shared" ref="E2:E35" si="0">HYPERLINK(D2,A2 &amp; " Demo")</f>
        <v>El Brujo Demo</v>
      </c>
      <c r="F2" s="129" t="s">
        <v>1377</v>
      </c>
      <c r="G2" s="130" t="str">
        <f t="shared" ref="G2:G35" si="1">HYPERLINK(F2,A2 &amp; " Game Page")</f>
        <v>El Brujo Game Page</v>
      </c>
      <c r="H2" s="131">
        <v>117649</v>
      </c>
      <c r="I2" s="74">
        <v>6</v>
      </c>
      <c r="J2" s="132">
        <v>800</v>
      </c>
      <c r="K2" s="132">
        <v>80000</v>
      </c>
      <c r="L2" s="132">
        <v>1600</v>
      </c>
      <c r="M2" s="133" t="s">
        <v>1378</v>
      </c>
      <c r="N2" s="74" t="s">
        <v>1379</v>
      </c>
      <c r="O2" s="134" t="s">
        <v>1380</v>
      </c>
      <c r="P2" s="74" t="s">
        <v>1381</v>
      </c>
      <c r="Q2" s="74" t="s">
        <v>26</v>
      </c>
      <c r="R2" s="74" t="s">
        <v>1312</v>
      </c>
      <c r="S2" s="62" t="s">
        <v>43</v>
      </c>
    </row>
    <row r="3" spans="1:37" ht="45">
      <c r="A3" s="13" t="s">
        <v>1382</v>
      </c>
      <c r="B3" s="135" t="s">
        <v>19</v>
      </c>
      <c r="C3" s="136" t="s">
        <v>20</v>
      </c>
      <c r="D3" s="137" t="s">
        <v>1383</v>
      </c>
      <c r="E3" s="245" t="str">
        <f t="shared" si="0"/>
        <v>Boxeador Invicto Demo</v>
      </c>
      <c r="F3" s="6" t="s">
        <v>1384</v>
      </c>
      <c r="G3" s="138" t="str">
        <f t="shared" si="1"/>
        <v>Boxeador Invicto Game Page</v>
      </c>
      <c r="H3" s="66">
        <v>117649</v>
      </c>
      <c r="I3" s="69">
        <v>6</v>
      </c>
      <c r="J3" s="139">
        <v>800</v>
      </c>
      <c r="K3" s="139">
        <v>80000</v>
      </c>
      <c r="L3" s="139">
        <v>1600</v>
      </c>
      <c r="M3" s="87" t="s">
        <v>1385</v>
      </c>
      <c r="N3" s="10" t="s">
        <v>1379</v>
      </c>
      <c r="O3" s="87" t="s">
        <v>1386</v>
      </c>
      <c r="P3" s="10" t="s">
        <v>1387</v>
      </c>
      <c r="Q3" s="10" t="s">
        <v>26</v>
      </c>
      <c r="R3" s="10" t="s">
        <v>1254</v>
      </c>
      <c r="S3" s="60" t="s">
        <v>43</v>
      </c>
    </row>
    <row r="4" spans="1:37">
      <c r="A4" s="13" t="s">
        <v>982</v>
      </c>
      <c r="B4" s="140" t="s">
        <v>77</v>
      </c>
      <c r="C4" s="136" t="s">
        <v>20</v>
      </c>
      <c r="D4" s="36" t="s">
        <v>78</v>
      </c>
      <c r="E4" s="245" t="str">
        <f t="shared" si="0"/>
        <v>Abigail Ratchford's Treasure Quest Demo</v>
      </c>
      <c r="F4" s="6" t="s">
        <v>1388</v>
      </c>
      <c r="G4" s="138" t="str">
        <f t="shared" si="1"/>
        <v>Abigail Ratchford's Treasure Quest Game Page</v>
      </c>
      <c r="H4" s="66">
        <v>243</v>
      </c>
      <c r="I4" s="10">
        <v>5</v>
      </c>
      <c r="J4" s="141">
        <v>810</v>
      </c>
      <c r="K4" s="141">
        <v>19500</v>
      </c>
      <c r="L4" s="141">
        <v>1590</v>
      </c>
      <c r="M4" s="28">
        <v>123825000</v>
      </c>
      <c r="N4" s="5" t="s">
        <v>1389</v>
      </c>
      <c r="O4" s="10" t="s">
        <v>80</v>
      </c>
      <c r="P4" s="10" t="s">
        <v>1390</v>
      </c>
      <c r="Q4" s="10" t="s">
        <v>26</v>
      </c>
      <c r="R4" s="56">
        <v>3.1699999999999999E-2</v>
      </c>
      <c r="S4" s="60" t="s">
        <v>27</v>
      </c>
    </row>
    <row r="5" spans="1:37">
      <c r="A5" s="13" t="s">
        <v>158</v>
      </c>
      <c r="B5" s="140" t="s">
        <v>77</v>
      </c>
      <c r="C5" s="142" t="s">
        <v>98</v>
      </c>
      <c r="D5" s="36" t="s">
        <v>159</v>
      </c>
      <c r="E5" s="245" t="str">
        <f t="shared" si="0"/>
        <v>Castle Slots Demo</v>
      </c>
      <c r="F5" s="6" t="s">
        <v>1391</v>
      </c>
      <c r="G5" s="138" t="str">
        <f t="shared" si="1"/>
        <v>Castle Slots Game Page</v>
      </c>
      <c r="H5" s="66">
        <v>10</v>
      </c>
      <c r="I5" s="10">
        <v>5</v>
      </c>
      <c r="J5" s="139">
        <v>800</v>
      </c>
      <c r="K5" s="139">
        <v>130000</v>
      </c>
      <c r="L5" s="139">
        <v>1600</v>
      </c>
      <c r="M5" s="11">
        <v>93340000</v>
      </c>
      <c r="N5" s="10" t="s">
        <v>1392</v>
      </c>
      <c r="O5" s="10" t="s">
        <v>161</v>
      </c>
      <c r="P5" s="10" t="s">
        <v>1393</v>
      </c>
      <c r="Q5" s="10" t="s">
        <v>26</v>
      </c>
      <c r="R5" s="10" t="s">
        <v>1394</v>
      </c>
      <c r="S5" s="60" t="s">
        <v>43</v>
      </c>
    </row>
    <row r="6" spans="1:37">
      <c r="A6" s="13" t="s">
        <v>1395</v>
      </c>
      <c r="B6" s="140" t="s">
        <v>77</v>
      </c>
      <c r="C6" s="142" t="s">
        <v>98</v>
      </c>
      <c r="D6" s="137" t="s">
        <v>1396</v>
      </c>
      <c r="E6" s="245" t="str">
        <f t="shared" si="0"/>
        <v>Dama Fortuna Demo</v>
      </c>
      <c r="F6" s="6" t="s">
        <v>1397</v>
      </c>
      <c r="G6" s="138" t="str">
        <f t="shared" si="1"/>
        <v>Dama Fortuna Game Page</v>
      </c>
      <c r="H6" s="66">
        <v>25</v>
      </c>
      <c r="I6" s="10">
        <v>5</v>
      </c>
      <c r="J6" s="139">
        <v>800</v>
      </c>
      <c r="K6" s="139">
        <v>112500</v>
      </c>
      <c r="L6" s="139">
        <v>1600</v>
      </c>
      <c r="M6" s="11">
        <v>328050000</v>
      </c>
      <c r="N6" s="10" t="s">
        <v>1398</v>
      </c>
      <c r="O6" s="10" t="s">
        <v>1001</v>
      </c>
      <c r="P6" s="10" t="s">
        <v>1399</v>
      </c>
      <c r="Q6" s="10" t="s">
        <v>26</v>
      </c>
      <c r="R6" s="10" t="s">
        <v>1363</v>
      </c>
      <c r="S6" s="60" t="s">
        <v>43</v>
      </c>
    </row>
    <row r="7" spans="1:37" ht="60">
      <c r="A7" s="13" t="s">
        <v>1400</v>
      </c>
      <c r="B7" s="140" t="s">
        <v>77</v>
      </c>
      <c r="C7" s="142" t="s">
        <v>98</v>
      </c>
      <c r="D7" s="137" t="s">
        <v>1401</v>
      </c>
      <c r="E7" s="245" t="str">
        <f t="shared" si="0"/>
        <v>DJ In Session Demo</v>
      </c>
      <c r="F7" s="6" t="s">
        <v>1402</v>
      </c>
      <c r="G7" s="138" t="str">
        <f t="shared" si="1"/>
        <v>DJ In Session Game Page</v>
      </c>
      <c r="H7" s="66">
        <v>25</v>
      </c>
      <c r="I7" s="10">
        <v>5</v>
      </c>
      <c r="J7" s="139">
        <v>800</v>
      </c>
      <c r="K7" s="139">
        <v>112500</v>
      </c>
      <c r="L7" s="139">
        <v>1600</v>
      </c>
      <c r="M7" s="143" t="s">
        <v>1403</v>
      </c>
      <c r="N7" s="93" t="s">
        <v>1398</v>
      </c>
      <c r="O7" s="87" t="s">
        <v>1404</v>
      </c>
      <c r="P7" s="87" t="s">
        <v>1405</v>
      </c>
      <c r="Q7" s="144" t="s">
        <v>26</v>
      </c>
      <c r="R7" s="10" t="s">
        <v>1279</v>
      </c>
      <c r="S7" s="60" t="s">
        <v>43</v>
      </c>
    </row>
    <row r="8" spans="1:37" ht="45">
      <c r="A8" s="13" t="s">
        <v>201</v>
      </c>
      <c r="B8" s="140" t="s">
        <v>77</v>
      </c>
      <c r="C8" s="142" t="s">
        <v>98</v>
      </c>
      <c r="D8" s="36" t="s">
        <v>202</v>
      </c>
      <c r="E8" s="245" t="str">
        <f t="shared" si="0"/>
        <v>Dream 3 Team Demo</v>
      </c>
      <c r="F8" s="6" t="s">
        <v>1406</v>
      </c>
      <c r="G8" s="138" t="str">
        <f t="shared" si="1"/>
        <v>Dream 3 Team Game Page</v>
      </c>
      <c r="H8" s="66">
        <v>25</v>
      </c>
      <c r="I8" s="10">
        <v>5</v>
      </c>
      <c r="J8" s="139">
        <v>800</v>
      </c>
      <c r="K8" s="139">
        <v>130000</v>
      </c>
      <c r="L8" s="139">
        <v>1600</v>
      </c>
      <c r="M8" s="143" t="s">
        <v>1407</v>
      </c>
      <c r="N8" s="93" t="s">
        <v>1408</v>
      </c>
      <c r="O8" s="87" t="s">
        <v>1409</v>
      </c>
      <c r="P8" s="93" t="s">
        <v>1410</v>
      </c>
      <c r="Q8" s="144" t="s">
        <v>26</v>
      </c>
      <c r="R8" s="93" t="s">
        <v>1411</v>
      </c>
      <c r="S8" s="60" t="s">
        <v>43</v>
      </c>
    </row>
    <row r="9" spans="1:37">
      <c r="A9" s="13" t="s">
        <v>213</v>
      </c>
      <c r="B9" s="140" t="s">
        <v>77</v>
      </c>
      <c r="C9" s="136" t="s">
        <v>20</v>
      </c>
      <c r="D9" s="6" t="s">
        <v>214</v>
      </c>
      <c r="E9" s="245" t="str">
        <f t="shared" si="0"/>
        <v>El Bandido Explosivo Demo</v>
      </c>
      <c r="F9" s="6" t="s">
        <v>1412</v>
      </c>
      <c r="G9" s="138" t="str">
        <f t="shared" si="1"/>
        <v>El Bandido Explosivo Game Page</v>
      </c>
      <c r="H9" s="145">
        <v>10</v>
      </c>
      <c r="I9" s="144">
        <v>5</v>
      </c>
      <c r="J9" s="146">
        <v>800</v>
      </c>
      <c r="K9" s="146">
        <v>130000</v>
      </c>
      <c r="L9" s="146">
        <v>1600</v>
      </c>
      <c r="M9" s="147">
        <v>273000000</v>
      </c>
      <c r="N9" s="148" t="s">
        <v>1392</v>
      </c>
      <c r="O9" s="10" t="s">
        <v>61</v>
      </c>
      <c r="P9" s="148" t="s">
        <v>1413</v>
      </c>
      <c r="Q9" s="144" t="s">
        <v>26</v>
      </c>
      <c r="R9" s="148">
        <v>0.13189999999999999</v>
      </c>
      <c r="S9" s="149" t="s">
        <v>43</v>
      </c>
    </row>
    <row r="10" spans="1:37" ht="45">
      <c r="A10" s="13" t="s">
        <v>1414</v>
      </c>
      <c r="B10" s="140" t="s">
        <v>77</v>
      </c>
      <c r="C10" s="142" t="s">
        <v>98</v>
      </c>
      <c r="D10" s="137" t="s">
        <v>1415</v>
      </c>
      <c r="E10" s="245" t="str">
        <f t="shared" si="0"/>
        <v>El Planeta de Las Gemas Demo</v>
      </c>
      <c r="F10" s="6" t="s">
        <v>1416</v>
      </c>
      <c r="G10" s="138" t="str">
        <f t="shared" si="1"/>
        <v>El Planeta de Las Gemas Game Page</v>
      </c>
      <c r="H10" s="66">
        <v>20</v>
      </c>
      <c r="I10" s="10">
        <v>5</v>
      </c>
      <c r="J10" s="139">
        <v>800</v>
      </c>
      <c r="K10" s="139">
        <v>130000</v>
      </c>
      <c r="L10" s="139">
        <v>1600</v>
      </c>
      <c r="M10" s="143" t="s">
        <v>1417</v>
      </c>
      <c r="N10" s="10" t="s">
        <v>1408</v>
      </c>
      <c r="O10" s="87" t="s">
        <v>1418</v>
      </c>
      <c r="P10" s="10" t="s">
        <v>1410</v>
      </c>
      <c r="Q10" s="10" t="s">
        <v>26</v>
      </c>
      <c r="R10" s="10" t="s">
        <v>1344</v>
      </c>
      <c r="S10" s="60" t="s">
        <v>43</v>
      </c>
    </row>
    <row r="11" spans="1:37">
      <c r="A11" s="13" t="s">
        <v>1419</v>
      </c>
      <c r="B11" s="140" t="s">
        <v>77</v>
      </c>
      <c r="C11" s="142" t="s">
        <v>98</v>
      </c>
      <c r="D11" s="137" t="s">
        <v>1420</v>
      </c>
      <c r="E11" s="245" t="str">
        <f t="shared" si="0"/>
        <v>Estaca Plateada Demo</v>
      </c>
      <c r="F11" s="6" t="s">
        <v>1421</v>
      </c>
      <c r="G11" s="138" t="str">
        <f t="shared" si="1"/>
        <v>Estaca Plateada Game Page</v>
      </c>
      <c r="H11" s="66">
        <v>10</v>
      </c>
      <c r="I11" s="10">
        <v>5</v>
      </c>
      <c r="J11" s="139">
        <v>800</v>
      </c>
      <c r="K11" s="139">
        <v>24000</v>
      </c>
      <c r="L11" s="139">
        <v>1600</v>
      </c>
      <c r="M11" s="11">
        <v>132000000</v>
      </c>
      <c r="N11" s="10" t="s">
        <v>1422</v>
      </c>
      <c r="O11" s="10" t="s">
        <v>258</v>
      </c>
      <c r="P11" s="10" t="s">
        <v>1423</v>
      </c>
      <c r="Q11" s="10" t="s">
        <v>26</v>
      </c>
      <c r="R11" s="10" t="s">
        <v>1267</v>
      </c>
      <c r="S11" s="60" t="s">
        <v>27</v>
      </c>
    </row>
    <row r="12" spans="1:37">
      <c r="A12" s="13" t="s">
        <v>298</v>
      </c>
      <c r="B12" s="140" t="s">
        <v>77</v>
      </c>
      <c r="C12" s="136" t="s">
        <v>20</v>
      </c>
      <c r="D12" s="137" t="s">
        <v>1424</v>
      </c>
      <c r="E12" s="245" t="str">
        <f t="shared" si="0"/>
        <v>Fonsi Nieto Deluxe Racing Life Demo</v>
      </c>
      <c r="F12" s="6" t="s">
        <v>1425</v>
      </c>
      <c r="G12" s="138" t="str">
        <f t="shared" si="1"/>
        <v>Fonsi Nieto Deluxe Racing Life Game Page</v>
      </c>
      <c r="H12" s="66">
        <v>10</v>
      </c>
      <c r="I12" s="10">
        <v>5</v>
      </c>
      <c r="J12" s="139">
        <v>800</v>
      </c>
      <c r="K12" s="139">
        <v>24000</v>
      </c>
      <c r="L12" s="139">
        <v>1600</v>
      </c>
      <c r="M12" s="11">
        <v>132000000</v>
      </c>
      <c r="N12" s="93" t="s">
        <v>1422</v>
      </c>
      <c r="O12" s="10" t="s">
        <v>258</v>
      </c>
      <c r="P12" s="93" t="s">
        <v>1423</v>
      </c>
      <c r="Q12" s="144" t="s">
        <v>26</v>
      </c>
      <c r="R12" s="10" t="s">
        <v>1267</v>
      </c>
      <c r="S12" s="60" t="s">
        <v>27</v>
      </c>
    </row>
    <row r="13" spans="1:37" ht="30">
      <c r="A13" s="13" t="s">
        <v>1426</v>
      </c>
      <c r="B13" s="140" t="s">
        <v>77</v>
      </c>
      <c r="C13" s="142" t="s">
        <v>98</v>
      </c>
      <c r="D13" s="137" t="s">
        <v>1427</v>
      </c>
      <c r="E13" s="245" t="str">
        <f t="shared" si="0"/>
        <v>God of Seas Demo</v>
      </c>
      <c r="F13" s="6" t="s">
        <v>1428</v>
      </c>
      <c r="G13" s="138" t="str">
        <f t="shared" si="1"/>
        <v>God of Seas Game Page</v>
      </c>
      <c r="H13" s="66">
        <v>20</v>
      </c>
      <c r="I13" s="10">
        <v>5</v>
      </c>
      <c r="J13" s="139">
        <v>800</v>
      </c>
      <c r="K13" s="139">
        <v>130000</v>
      </c>
      <c r="L13" s="139">
        <v>1600</v>
      </c>
      <c r="M13" s="143" t="s">
        <v>1429</v>
      </c>
      <c r="N13" s="10" t="s">
        <v>1408</v>
      </c>
      <c r="O13" s="87" t="s">
        <v>1430</v>
      </c>
      <c r="P13" s="10" t="s">
        <v>1282</v>
      </c>
      <c r="Q13" s="10" t="s">
        <v>26</v>
      </c>
      <c r="R13" s="10" t="s">
        <v>1279</v>
      </c>
      <c r="S13" s="60" t="s">
        <v>27</v>
      </c>
    </row>
    <row r="14" spans="1:37">
      <c r="A14" s="13" t="s">
        <v>1431</v>
      </c>
      <c r="B14" s="140" t="s">
        <v>77</v>
      </c>
      <c r="C14" s="136" t="s">
        <v>20</v>
      </c>
      <c r="D14" s="36" t="s">
        <v>318</v>
      </c>
      <c r="E14" s="245" t="str">
        <f t="shared" si="0"/>
        <v>Gold Mermaid by Renata Gonzalez Demo</v>
      </c>
      <c r="F14" s="6" t="s">
        <v>1432</v>
      </c>
      <c r="G14" s="138" t="str">
        <f t="shared" si="1"/>
        <v>Gold Mermaid by Renata Gonzalez Game Page</v>
      </c>
      <c r="H14" s="66">
        <v>10</v>
      </c>
      <c r="I14" s="10">
        <v>5</v>
      </c>
      <c r="J14" s="139">
        <v>800</v>
      </c>
      <c r="K14" s="139">
        <v>24000</v>
      </c>
      <c r="L14" s="139">
        <v>1600</v>
      </c>
      <c r="M14" s="11">
        <v>132000000</v>
      </c>
      <c r="N14" s="10" t="s">
        <v>1422</v>
      </c>
      <c r="O14" s="10" t="s">
        <v>258</v>
      </c>
      <c r="P14" s="10" t="s">
        <v>1423</v>
      </c>
      <c r="Q14" s="10" t="s">
        <v>26</v>
      </c>
      <c r="R14" s="10" t="s">
        <v>1267</v>
      </c>
      <c r="S14" s="60" t="s">
        <v>27</v>
      </c>
    </row>
    <row r="15" spans="1:37">
      <c r="A15" s="13" t="s">
        <v>1433</v>
      </c>
      <c r="B15" s="140" t="s">
        <v>77</v>
      </c>
      <c r="C15" s="136" t="s">
        <v>20</v>
      </c>
      <c r="D15" s="137" t="s">
        <v>1434</v>
      </c>
      <c r="E15" s="245" t="str">
        <f t="shared" si="0"/>
        <v>Golden Throne Demo</v>
      </c>
      <c r="F15" s="6" t="s">
        <v>1435</v>
      </c>
      <c r="G15" s="138" t="str">
        <f t="shared" si="1"/>
        <v>Golden Throne Game Page</v>
      </c>
      <c r="H15" s="66">
        <v>243</v>
      </c>
      <c r="I15" s="10">
        <v>5</v>
      </c>
      <c r="J15" s="139">
        <v>810</v>
      </c>
      <c r="K15" s="139">
        <v>19500</v>
      </c>
      <c r="L15" s="139">
        <v>1590</v>
      </c>
      <c r="M15" s="11">
        <v>123825000</v>
      </c>
      <c r="N15" s="10" t="s">
        <v>1389</v>
      </c>
      <c r="O15" s="10" t="s">
        <v>80</v>
      </c>
      <c r="P15" s="10" t="s">
        <v>1390</v>
      </c>
      <c r="Q15" s="10" t="s">
        <v>26</v>
      </c>
      <c r="R15" s="56">
        <v>3.1699999999999999E-2</v>
      </c>
      <c r="S15" s="60" t="s">
        <v>27</v>
      </c>
    </row>
    <row r="16" spans="1:37">
      <c r="A16" s="13" t="s">
        <v>1436</v>
      </c>
      <c r="B16" s="140" t="s">
        <v>77</v>
      </c>
      <c r="C16" s="136" t="s">
        <v>20</v>
      </c>
      <c r="D16" s="36" t="s">
        <v>320</v>
      </c>
      <c r="E16" s="245" t="str">
        <f t="shared" si="0"/>
        <v>GT World Challenge By Andy Soucek Demo</v>
      </c>
      <c r="F16" s="6" t="s">
        <v>1437</v>
      </c>
      <c r="G16" s="138" t="str">
        <f t="shared" si="1"/>
        <v>GT World Challenge By Andy Soucek Game Page</v>
      </c>
      <c r="H16" s="66">
        <v>10</v>
      </c>
      <c r="I16" s="10">
        <v>5</v>
      </c>
      <c r="J16" s="139">
        <v>800</v>
      </c>
      <c r="K16" s="139">
        <v>130000</v>
      </c>
      <c r="L16" s="139">
        <v>1600</v>
      </c>
      <c r="M16" s="11">
        <v>65000000</v>
      </c>
      <c r="N16" s="10" t="s">
        <v>1392</v>
      </c>
      <c r="O16" s="10" t="s">
        <v>144</v>
      </c>
      <c r="P16" s="10" t="s">
        <v>1438</v>
      </c>
      <c r="Q16" s="10" t="s">
        <v>26</v>
      </c>
      <c r="R16" s="10" t="s">
        <v>1302</v>
      </c>
      <c r="S16" s="60" t="s">
        <v>32</v>
      </c>
    </row>
    <row r="17" spans="1:19" ht="45">
      <c r="A17" s="13" t="s">
        <v>1439</v>
      </c>
      <c r="B17" s="140" t="s">
        <v>77</v>
      </c>
      <c r="C17" s="136" t="s">
        <v>20</v>
      </c>
      <c r="D17" s="36" t="s">
        <v>336</v>
      </c>
      <c r="E17" s="245" t="str">
        <f t="shared" si="0"/>
        <v>Jessica Weaver Queen of the Seas Demo</v>
      </c>
      <c r="F17" s="6" t="s">
        <v>1440</v>
      </c>
      <c r="G17" s="138" t="str">
        <f t="shared" si="1"/>
        <v>Jessica Weaver Queen of the Seas Game Page</v>
      </c>
      <c r="H17" s="66">
        <v>25</v>
      </c>
      <c r="I17" s="10">
        <v>5</v>
      </c>
      <c r="J17" s="139">
        <v>800</v>
      </c>
      <c r="K17" s="139">
        <v>112500</v>
      </c>
      <c r="L17" s="139">
        <v>1600</v>
      </c>
      <c r="M17" s="143" t="s">
        <v>1441</v>
      </c>
      <c r="N17" s="10" t="s">
        <v>1398</v>
      </c>
      <c r="O17" s="87" t="s">
        <v>1442</v>
      </c>
      <c r="P17" s="10" t="s">
        <v>1443</v>
      </c>
      <c r="Q17" s="10" t="s">
        <v>26</v>
      </c>
      <c r="R17" s="10" t="s">
        <v>1285</v>
      </c>
      <c r="S17" s="60" t="s">
        <v>32</v>
      </c>
    </row>
    <row r="18" spans="1:19">
      <c r="A18" s="13" t="s">
        <v>421</v>
      </c>
      <c r="B18" s="140" t="s">
        <v>77</v>
      </c>
      <c r="C18" s="142" t="s">
        <v>98</v>
      </c>
      <c r="D18" s="36" t="s">
        <v>422</v>
      </c>
      <c r="E18" s="245" t="str">
        <f t="shared" si="0"/>
        <v>Lucky Dragon Demo</v>
      </c>
      <c r="F18" s="6" t="s">
        <v>1444</v>
      </c>
      <c r="G18" s="138" t="str">
        <f t="shared" si="1"/>
        <v>Lucky Dragon Game Page</v>
      </c>
      <c r="H18" s="66">
        <v>10</v>
      </c>
      <c r="I18" s="10">
        <v>5</v>
      </c>
      <c r="J18" s="139">
        <v>800</v>
      </c>
      <c r="K18" s="139">
        <v>130000</v>
      </c>
      <c r="L18" s="139">
        <v>1600</v>
      </c>
      <c r="M18" s="11">
        <v>65000000</v>
      </c>
      <c r="N18" s="10" t="s">
        <v>1392</v>
      </c>
      <c r="O18" s="10" t="s">
        <v>144</v>
      </c>
      <c r="P18" s="10" t="s">
        <v>1445</v>
      </c>
      <c r="Q18" s="10" t="s">
        <v>26</v>
      </c>
      <c r="R18" s="10" t="s">
        <v>1446</v>
      </c>
      <c r="S18" s="60" t="s">
        <v>32</v>
      </c>
    </row>
    <row r="19" spans="1:19" ht="45">
      <c r="A19" s="13" t="s">
        <v>1068</v>
      </c>
      <c r="B19" s="140" t="s">
        <v>77</v>
      </c>
      <c r="C19" s="142" t="s">
        <v>98</v>
      </c>
      <c r="D19" s="137" t="s">
        <v>1447</v>
      </c>
      <c r="E19" s="245" t="str">
        <f t="shared" si="0"/>
        <v>Lucky Wave Demo</v>
      </c>
      <c r="F19" s="6" t="s">
        <v>1448</v>
      </c>
      <c r="G19" s="138" t="str">
        <f t="shared" si="1"/>
        <v>Lucky Wave Game Page</v>
      </c>
      <c r="H19" s="66">
        <v>25</v>
      </c>
      <c r="I19" s="10">
        <v>5</v>
      </c>
      <c r="J19" s="139">
        <v>800</v>
      </c>
      <c r="K19" s="139">
        <v>112500</v>
      </c>
      <c r="L19" s="139">
        <v>1600</v>
      </c>
      <c r="M19" s="143" t="s">
        <v>1441</v>
      </c>
      <c r="N19" s="10" t="s">
        <v>1398</v>
      </c>
      <c r="O19" s="87" t="s">
        <v>1442</v>
      </c>
      <c r="P19" s="10" t="s">
        <v>1443</v>
      </c>
      <c r="Q19" s="10" t="s">
        <v>26</v>
      </c>
      <c r="R19" s="10" t="s">
        <v>1287</v>
      </c>
      <c r="S19" s="60" t="s">
        <v>32</v>
      </c>
    </row>
    <row r="20" spans="1:19" ht="45">
      <c r="A20" s="13" t="s">
        <v>891</v>
      </c>
      <c r="B20" s="140" t="s">
        <v>77</v>
      </c>
      <c r="C20" s="136" t="s">
        <v>20</v>
      </c>
      <c r="D20" s="137" t="s">
        <v>1449</v>
      </c>
      <c r="E20" s="245" t="str">
        <f t="shared" si="0"/>
        <v>Paulo Futre The Last Gladiator Demo</v>
      </c>
      <c r="F20" s="6" t="s">
        <v>1450</v>
      </c>
      <c r="G20" s="138" t="str">
        <f t="shared" si="1"/>
        <v>Paulo Futre The Last Gladiator Game Page</v>
      </c>
      <c r="H20" s="66">
        <v>20</v>
      </c>
      <c r="I20" s="10">
        <v>5</v>
      </c>
      <c r="J20" s="139">
        <v>800</v>
      </c>
      <c r="K20" s="139">
        <v>130000</v>
      </c>
      <c r="L20" s="139">
        <v>1600</v>
      </c>
      <c r="M20" s="143" t="s">
        <v>1407</v>
      </c>
      <c r="N20" s="10" t="s">
        <v>1408</v>
      </c>
      <c r="O20" s="87" t="s">
        <v>1451</v>
      </c>
      <c r="P20" s="10" t="s">
        <v>1452</v>
      </c>
      <c r="Q20" s="10" t="s">
        <v>26</v>
      </c>
      <c r="R20" s="93" t="s">
        <v>1291</v>
      </c>
      <c r="S20" s="60" t="s">
        <v>43</v>
      </c>
    </row>
    <row r="21" spans="1:19">
      <c r="A21" s="13" t="s">
        <v>1453</v>
      </c>
      <c r="B21" s="140" t="s">
        <v>77</v>
      </c>
      <c r="C21" s="142" t="s">
        <v>98</v>
      </c>
      <c r="D21" s="137" t="s">
        <v>1454</v>
      </c>
      <c r="E21" s="245" t="str">
        <f t="shared" si="0"/>
        <v>Queen of Persia Demo</v>
      </c>
      <c r="F21" s="6" t="s">
        <v>1455</v>
      </c>
      <c r="G21" s="138" t="str">
        <f t="shared" si="1"/>
        <v>Queen of Persia Game Page</v>
      </c>
      <c r="H21" s="66">
        <v>243</v>
      </c>
      <c r="I21" s="10">
        <v>5</v>
      </c>
      <c r="J21" s="139">
        <v>810</v>
      </c>
      <c r="K21" s="139">
        <v>19500</v>
      </c>
      <c r="L21" s="139">
        <v>1590</v>
      </c>
      <c r="M21" s="11">
        <v>123825000</v>
      </c>
      <c r="N21" s="10" t="s">
        <v>1389</v>
      </c>
      <c r="O21" s="10" t="s">
        <v>80</v>
      </c>
      <c r="P21" s="10" t="s">
        <v>1456</v>
      </c>
      <c r="Q21" s="10" t="s">
        <v>26</v>
      </c>
      <c r="R21" s="10" t="s">
        <v>1354</v>
      </c>
      <c r="S21" s="60" t="s">
        <v>27</v>
      </c>
    </row>
    <row r="22" spans="1:19">
      <c r="A22" s="13" t="s">
        <v>515</v>
      </c>
      <c r="B22" s="140" t="s">
        <v>77</v>
      </c>
      <c r="C22" s="136" t="s">
        <v>20</v>
      </c>
      <c r="D22" s="36" t="s">
        <v>516</v>
      </c>
      <c r="E22" s="245" t="str">
        <f t="shared" si="0"/>
        <v>Samantha Fox Demo</v>
      </c>
      <c r="F22" s="6" t="s">
        <v>1457</v>
      </c>
      <c r="G22" s="138" t="str">
        <f t="shared" si="1"/>
        <v>Samantha Fox Game Page</v>
      </c>
      <c r="H22" s="66">
        <v>25</v>
      </c>
      <c r="I22" s="10">
        <v>5</v>
      </c>
      <c r="J22" s="139">
        <v>800</v>
      </c>
      <c r="K22" s="139">
        <v>112500</v>
      </c>
      <c r="L22" s="139">
        <v>1600</v>
      </c>
      <c r="M22" s="11">
        <v>121500000</v>
      </c>
      <c r="N22" s="10" t="s">
        <v>1398</v>
      </c>
      <c r="O22" s="10" t="s">
        <v>147</v>
      </c>
      <c r="P22" s="56">
        <v>0.95079999999999998</v>
      </c>
      <c r="Q22" s="10" t="s">
        <v>26</v>
      </c>
      <c r="R22" s="10" t="s">
        <v>1279</v>
      </c>
      <c r="S22" s="60" t="s">
        <v>43</v>
      </c>
    </row>
    <row r="23" spans="1:19">
      <c r="A23" s="13" t="s">
        <v>552</v>
      </c>
      <c r="B23" s="140" t="s">
        <v>77</v>
      </c>
      <c r="C23" s="142" t="s">
        <v>98</v>
      </c>
      <c r="D23" s="36" t="s">
        <v>553</v>
      </c>
      <c r="E23" s="245" t="str">
        <f t="shared" si="0"/>
        <v>Wild Africa Demo</v>
      </c>
      <c r="F23" s="6" t="s">
        <v>1458</v>
      </c>
      <c r="G23" s="138" t="str">
        <f t="shared" si="1"/>
        <v>Wild Africa Game Page</v>
      </c>
      <c r="H23" s="66">
        <v>20</v>
      </c>
      <c r="I23" s="10">
        <v>5</v>
      </c>
      <c r="J23" s="139"/>
      <c r="K23" s="139"/>
      <c r="L23" s="139"/>
      <c r="M23" s="11"/>
      <c r="N23" s="150"/>
      <c r="O23" s="10"/>
      <c r="P23" s="10" t="s">
        <v>1459</v>
      </c>
      <c r="Q23" s="10" t="s">
        <v>26</v>
      </c>
      <c r="R23" s="10" t="s">
        <v>1460</v>
      </c>
      <c r="S23" s="60" t="s">
        <v>43</v>
      </c>
    </row>
    <row r="24" spans="1:19">
      <c r="A24" s="13" t="s">
        <v>1184</v>
      </c>
      <c r="B24" s="68" t="s">
        <v>569</v>
      </c>
      <c r="C24" s="142" t="s">
        <v>98</v>
      </c>
      <c r="D24" s="137" t="s">
        <v>583</v>
      </c>
      <c r="E24" s="245" t="str">
        <f t="shared" si="0"/>
        <v>Bikers Demo</v>
      </c>
      <c r="F24" s="6" t="s">
        <v>1461</v>
      </c>
      <c r="G24" s="138" t="str">
        <f t="shared" si="1"/>
        <v>Bikers Game Page</v>
      </c>
      <c r="H24" s="66" t="s">
        <v>571</v>
      </c>
      <c r="I24" s="10" t="s">
        <v>571</v>
      </c>
      <c r="J24" s="139">
        <v>800</v>
      </c>
      <c r="K24" s="139">
        <v>120000</v>
      </c>
      <c r="L24" s="139">
        <v>1600</v>
      </c>
      <c r="M24" s="11">
        <v>45000000</v>
      </c>
      <c r="N24" s="85" t="s">
        <v>1462</v>
      </c>
      <c r="O24" s="10" t="s">
        <v>580</v>
      </c>
      <c r="P24" s="56">
        <v>0.90139999999999998</v>
      </c>
      <c r="Q24" s="69" t="s">
        <v>26</v>
      </c>
      <c r="R24" s="66" t="s">
        <v>1463</v>
      </c>
      <c r="S24" s="60" t="s">
        <v>43</v>
      </c>
    </row>
    <row r="25" spans="1:19">
      <c r="A25" s="13" t="s">
        <v>1186</v>
      </c>
      <c r="B25" s="68" t="s">
        <v>569</v>
      </c>
      <c r="C25" s="142" t="s">
        <v>98</v>
      </c>
      <c r="D25" s="137" t="s">
        <v>586</v>
      </c>
      <c r="E25" s="245" t="str">
        <f t="shared" si="0"/>
        <v>Buffalo Demo</v>
      </c>
      <c r="F25" s="6" t="s">
        <v>1464</v>
      </c>
      <c r="G25" s="138" t="str">
        <f t="shared" si="1"/>
        <v>Buffalo Game Page</v>
      </c>
      <c r="H25" s="66" t="s">
        <v>571</v>
      </c>
      <c r="I25" s="10" t="s">
        <v>571</v>
      </c>
      <c r="J25" s="139">
        <v>800</v>
      </c>
      <c r="K25" s="139">
        <v>120000</v>
      </c>
      <c r="L25" s="139">
        <v>1600</v>
      </c>
      <c r="M25" s="11">
        <v>75000000</v>
      </c>
      <c r="N25" s="85" t="s">
        <v>1462</v>
      </c>
      <c r="O25" s="10" t="s">
        <v>573</v>
      </c>
      <c r="P25" s="56">
        <v>0.90639999999999998</v>
      </c>
      <c r="Q25" s="69" t="s">
        <v>26</v>
      </c>
      <c r="R25" s="66" t="s">
        <v>1465</v>
      </c>
      <c r="S25" s="60" t="s">
        <v>27</v>
      </c>
    </row>
    <row r="26" spans="1:19">
      <c r="A26" s="13" t="s">
        <v>1192</v>
      </c>
      <c r="B26" s="68" t="s">
        <v>569</v>
      </c>
      <c r="C26" s="142" t="s">
        <v>98</v>
      </c>
      <c r="D26" s="137" t="s">
        <v>600</v>
      </c>
      <c r="E26" s="245" t="str">
        <f t="shared" si="0"/>
        <v>Castle Demo</v>
      </c>
      <c r="F26" s="6" t="s">
        <v>1466</v>
      </c>
      <c r="G26" s="138" t="str">
        <f t="shared" si="1"/>
        <v>Castle Game Page</v>
      </c>
      <c r="H26" s="66" t="s">
        <v>571</v>
      </c>
      <c r="I26" s="10" t="s">
        <v>571</v>
      </c>
      <c r="J26" s="139">
        <v>800</v>
      </c>
      <c r="K26" s="139">
        <v>120000</v>
      </c>
      <c r="L26" s="139">
        <v>1600</v>
      </c>
      <c r="M26" s="11">
        <v>60000000</v>
      </c>
      <c r="N26" s="85" t="s">
        <v>1462</v>
      </c>
      <c r="O26" s="10" t="s">
        <v>144</v>
      </c>
      <c r="P26" s="56">
        <v>0.89949999999999997</v>
      </c>
      <c r="Q26" s="69" t="s">
        <v>26</v>
      </c>
      <c r="R26" s="66" t="s">
        <v>1467</v>
      </c>
      <c r="S26" s="60" t="s">
        <v>43</v>
      </c>
    </row>
    <row r="27" spans="1:19">
      <c r="A27" s="13" t="s">
        <v>1468</v>
      </c>
      <c r="B27" s="68" t="s">
        <v>569</v>
      </c>
      <c r="C27" s="142" t="s">
        <v>98</v>
      </c>
      <c r="D27" s="137" t="s">
        <v>606</v>
      </c>
      <c r="E27" s="245" t="str">
        <f t="shared" si="0"/>
        <v>Champions Demo</v>
      </c>
      <c r="F27" s="6" t="s">
        <v>1469</v>
      </c>
      <c r="G27" s="138" t="str">
        <f t="shared" si="1"/>
        <v>Champions Game Page</v>
      </c>
      <c r="H27" s="66" t="s">
        <v>571</v>
      </c>
      <c r="I27" s="10" t="s">
        <v>571</v>
      </c>
      <c r="J27" s="139">
        <v>800</v>
      </c>
      <c r="K27" s="139">
        <v>120000</v>
      </c>
      <c r="L27" s="139">
        <v>1600</v>
      </c>
      <c r="M27" s="11">
        <v>45000000</v>
      </c>
      <c r="N27" s="85" t="s">
        <v>1462</v>
      </c>
      <c r="O27" s="10" t="s">
        <v>580</v>
      </c>
      <c r="P27" s="56">
        <v>0.88229999999999997</v>
      </c>
      <c r="Q27" s="69" t="s">
        <v>26</v>
      </c>
      <c r="R27" s="66" t="s">
        <v>1470</v>
      </c>
      <c r="S27" s="60" t="s">
        <v>43</v>
      </c>
    </row>
    <row r="28" spans="1:19">
      <c r="A28" s="13" t="s">
        <v>1471</v>
      </c>
      <c r="B28" s="68" t="s">
        <v>569</v>
      </c>
      <c r="C28" s="142" t="s">
        <v>98</v>
      </c>
      <c r="D28" s="137" t="s">
        <v>609</v>
      </c>
      <c r="E28" s="245" t="str">
        <f t="shared" si="0"/>
        <v>Circus Demo</v>
      </c>
      <c r="F28" s="6" t="s">
        <v>1472</v>
      </c>
      <c r="G28" s="138" t="str">
        <f t="shared" si="1"/>
        <v>Circus Game Page</v>
      </c>
      <c r="H28" s="66" t="s">
        <v>571</v>
      </c>
      <c r="I28" s="10" t="s">
        <v>571</v>
      </c>
      <c r="J28" s="139">
        <v>800</v>
      </c>
      <c r="K28" s="139">
        <v>120000</v>
      </c>
      <c r="L28" s="139">
        <v>1600</v>
      </c>
      <c r="M28" s="11">
        <v>75000000</v>
      </c>
      <c r="N28" s="85" t="s">
        <v>1462</v>
      </c>
      <c r="O28" s="10" t="s">
        <v>573</v>
      </c>
      <c r="P28" s="56">
        <v>0.90649999999999997</v>
      </c>
      <c r="Q28" s="69" t="s">
        <v>26</v>
      </c>
      <c r="R28" s="66" t="s">
        <v>1470</v>
      </c>
      <c r="S28" s="60" t="s">
        <v>43</v>
      </c>
    </row>
    <row r="29" spans="1:19">
      <c r="A29" s="13" t="s">
        <v>1473</v>
      </c>
      <c r="B29" s="68" t="s">
        <v>569</v>
      </c>
      <c r="C29" s="142" t="s">
        <v>98</v>
      </c>
      <c r="D29" s="137" t="s">
        <v>643</v>
      </c>
      <c r="E29" s="245" t="str">
        <f t="shared" si="0"/>
        <v>Hollywood Demo</v>
      </c>
      <c r="F29" s="6" t="s">
        <v>1474</v>
      </c>
      <c r="G29" s="138" t="str">
        <f t="shared" si="1"/>
        <v>Hollywood Game Page</v>
      </c>
      <c r="H29" s="66" t="s">
        <v>571</v>
      </c>
      <c r="I29" s="10" t="s">
        <v>571</v>
      </c>
      <c r="J29" s="139">
        <v>800</v>
      </c>
      <c r="K29" s="139">
        <v>120000</v>
      </c>
      <c r="L29" s="139">
        <v>1600</v>
      </c>
      <c r="M29" s="11">
        <v>90000000</v>
      </c>
      <c r="N29" s="85" t="s">
        <v>1462</v>
      </c>
      <c r="O29" s="10" t="s">
        <v>127</v>
      </c>
      <c r="P29" s="56">
        <v>0.8982</v>
      </c>
      <c r="Q29" s="69" t="s">
        <v>26</v>
      </c>
      <c r="R29" s="66" t="s">
        <v>1475</v>
      </c>
      <c r="S29" s="60" t="s">
        <v>27</v>
      </c>
    </row>
    <row r="30" spans="1:19">
      <c r="A30" s="13" t="s">
        <v>651</v>
      </c>
      <c r="B30" s="68" t="s">
        <v>569</v>
      </c>
      <c r="C30" s="142" t="s">
        <v>98</v>
      </c>
      <c r="D30" s="137" t="s">
        <v>652</v>
      </c>
      <c r="E30" s="245" t="str">
        <f t="shared" si="0"/>
        <v>Magician Bingo Demo</v>
      </c>
      <c r="F30" s="6" t="s">
        <v>1476</v>
      </c>
      <c r="G30" s="138" t="str">
        <f t="shared" si="1"/>
        <v>Magician Bingo Game Page</v>
      </c>
      <c r="H30" s="66" t="s">
        <v>571</v>
      </c>
      <c r="I30" s="10" t="s">
        <v>571</v>
      </c>
      <c r="J30" s="139">
        <v>800</v>
      </c>
      <c r="K30" s="139">
        <v>120000</v>
      </c>
      <c r="L30" s="139">
        <v>1600</v>
      </c>
      <c r="M30" s="11">
        <v>75000000</v>
      </c>
      <c r="N30" s="85" t="s">
        <v>1462</v>
      </c>
      <c r="O30" s="10" t="s">
        <v>573</v>
      </c>
      <c r="P30" s="56">
        <v>0.90880000000000005</v>
      </c>
      <c r="Q30" s="69" t="s">
        <v>26</v>
      </c>
      <c r="R30" s="66" t="s">
        <v>1477</v>
      </c>
      <c r="S30" s="60" t="s">
        <v>43</v>
      </c>
    </row>
    <row r="31" spans="1:19">
      <c r="A31" s="13" t="s">
        <v>1221</v>
      </c>
      <c r="B31" s="68" t="s">
        <v>569</v>
      </c>
      <c r="C31" s="142" t="s">
        <v>98</v>
      </c>
      <c r="D31" s="137" t="s">
        <v>655</v>
      </c>
      <c r="E31" s="245" t="str">
        <f t="shared" si="0"/>
        <v>Mariachis Demo</v>
      </c>
      <c r="F31" s="6" t="s">
        <v>1478</v>
      </c>
      <c r="G31" s="138" t="str">
        <f t="shared" si="1"/>
        <v>Mariachis Game Page</v>
      </c>
      <c r="H31" s="66" t="s">
        <v>571</v>
      </c>
      <c r="I31" s="10" t="s">
        <v>571</v>
      </c>
      <c r="J31" s="139">
        <v>800</v>
      </c>
      <c r="K31" s="139">
        <v>120000</v>
      </c>
      <c r="L31" s="139">
        <v>1600</v>
      </c>
      <c r="M31" s="11">
        <v>60000000</v>
      </c>
      <c r="N31" s="85" t="s">
        <v>1462</v>
      </c>
      <c r="O31" s="10" t="s">
        <v>144</v>
      </c>
      <c r="P31" s="56">
        <v>0.90539999999999998</v>
      </c>
      <c r="Q31" s="69" t="s">
        <v>26</v>
      </c>
      <c r="R31" s="66" t="s">
        <v>1347</v>
      </c>
      <c r="S31" s="60" t="s">
        <v>43</v>
      </c>
    </row>
    <row r="32" spans="1:19">
      <c r="A32" s="13" t="s">
        <v>1225</v>
      </c>
      <c r="B32" s="68" t="s">
        <v>569</v>
      </c>
      <c r="C32" s="142" t="s">
        <v>98</v>
      </c>
      <c r="D32" s="137" t="s">
        <v>664</v>
      </c>
      <c r="E32" s="245" t="str">
        <f t="shared" si="0"/>
        <v>Rock Live Demo</v>
      </c>
      <c r="F32" s="6" t="s">
        <v>1479</v>
      </c>
      <c r="G32" s="138" t="str">
        <f t="shared" si="1"/>
        <v>Rock Live Game Page</v>
      </c>
      <c r="H32" s="66" t="s">
        <v>571</v>
      </c>
      <c r="I32" s="10" t="s">
        <v>571</v>
      </c>
      <c r="J32" s="139">
        <v>800</v>
      </c>
      <c r="K32" s="139">
        <v>120000</v>
      </c>
      <c r="L32" s="139">
        <v>1600</v>
      </c>
      <c r="M32" s="11">
        <v>45000000</v>
      </c>
      <c r="N32" s="85" t="s">
        <v>1462</v>
      </c>
      <c r="O32" s="10" t="s">
        <v>580</v>
      </c>
      <c r="P32" s="56">
        <v>0.91269999999999996</v>
      </c>
      <c r="Q32" s="69" t="s">
        <v>26</v>
      </c>
      <c r="R32" s="66" t="s">
        <v>1480</v>
      </c>
      <c r="S32" s="60" t="s">
        <v>43</v>
      </c>
    </row>
    <row r="33" spans="1:19">
      <c r="A33" s="13" t="s">
        <v>1230</v>
      </c>
      <c r="B33" s="68" t="s">
        <v>569</v>
      </c>
      <c r="C33" s="142" t="s">
        <v>98</v>
      </c>
      <c r="D33" s="137" t="s">
        <v>674</v>
      </c>
      <c r="E33" s="245" t="str">
        <f t="shared" si="0"/>
        <v>Sea Demo</v>
      </c>
      <c r="F33" s="6" t="s">
        <v>1481</v>
      </c>
      <c r="G33" s="138" t="str">
        <f t="shared" si="1"/>
        <v>Sea Game Page</v>
      </c>
      <c r="H33" s="66" t="s">
        <v>571</v>
      </c>
      <c r="I33" s="10" t="s">
        <v>571</v>
      </c>
      <c r="J33" s="139">
        <v>800</v>
      </c>
      <c r="K33" s="139">
        <v>120000</v>
      </c>
      <c r="L33" s="139">
        <v>1600</v>
      </c>
      <c r="M33" s="11">
        <v>45000000</v>
      </c>
      <c r="N33" s="85" t="s">
        <v>1462</v>
      </c>
      <c r="O33" s="10" t="s">
        <v>580</v>
      </c>
      <c r="P33" s="56">
        <v>0.90039999999999998</v>
      </c>
      <c r="Q33" s="69" t="s">
        <v>26</v>
      </c>
      <c r="R33" s="66" t="s">
        <v>1482</v>
      </c>
      <c r="S33" s="60" t="s">
        <v>43</v>
      </c>
    </row>
    <row r="34" spans="1:19">
      <c r="A34" s="13" t="s">
        <v>1234</v>
      </c>
      <c r="B34" s="68" t="s">
        <v>569</v>
      </c>
      <c r="C34" s="142" t="s">
        <v>98</v>
      </c>
      <c r="D34" s="137" t="s">
        <v>678</v>
      </c>
      <c r="E34" s="245" t="str">
        <f t="shared" si="0"/>
        <v>Sweet Home Demo</v>
      </c>
      <c r="F34" s="6" t="s">
        <v>1483</v>
      </c>
      <c r="G34" s="138" t="str">
        <f t="shared" si="1"/>
        <v>Sweet Home Game Page</v>
      </c>
      <c r="H34" s="66" t="s">
        <v>571</v>
      </c>
      <c r="I34" s="10" t="s">
        <v>571</v>
      </c>
      <c r="J34" s="139">
        <v>800</v>
      </c>
      <c r="K34" s="139">
        <v>120000</v>
      </c>
      <c r="L34" s="139">
        <v>1600</v>
      </c>
      <c r="M34" s="11">
        <v>60000000</v>
      </c>
      <c r="N34" s="85" t="s">
        <v>1462</v>
      </c>
      <c r="O34" s="10" t="s">
        <v>144</v>
      </c>
      <c r="P34" s="56">
        <v>0.91110000000000002</v>
      </c>
      <c r="Q34" s="69" t="s">
        <v>26</v>
      </c>
      <c r="R34" s="66" t="s">
        <v>1484</v>
      </c>
      <c r="S34" s="60" t="s">
        <v>43</v>
      </c>
    </row>
    <row r="35" spans="1:19">
      <c r="A35" s="102" t="s">
        <v>1242</v>
      </c>
      <c r="B35" s="151" t="s">
        <v>569</v>
      </c>
      <c r="C35" s="152" t="s">
        <v>98</v>
      </c>
      <c r="D35" s="153" t="s">
        <v>683</v>
      </c>
      <c r="E35" s="312" t="str">
        <f t="shared" si="0"/>
        <v>Zeus Demo</v>
      </c>
      <c r="F35" s="154" t="s">
        <v>1485</v>
      </c>
      <c r="G35" s="155" t="str">
        <f t="shared" si="1"/>
        <v>Zeus Game Page</v>
      </c>
      <c r="H35" s="156" t="s">
        <v>571</v>
      </c>
      <c r="I35" s="23" t="s">
        <v>571</v>
      </c>
      <c r="J35" s="157">
        <v>800</v>
      </c>
      <c r="K35" s="157">
        <v>120000</v>
      </c>
      <c r="L35" s="157">
        <v>1600</v>
      </c>
      <c r="M35" s="24">
        <v>75000000</v>
      </c>
      <c r="N35" s="158" t="s">
        <v>1462</v>
      </c>
      <c r="O35" s="23" t="s">
        <v>573</v>
      </c>
      <c r="P35" s="58">
        <v>0.90449999999999997</v>
      </c>
      <c r="Q35" s="70" t="s">
        <v>26</v>
      </c>
      <c r="R35" s="156" t="s">
        <v>1486</v>
      </c>
      <c r="S35" s="63" t="s">
        <v>43</v>
      </c>
    </row>
  </sheetData>
  <conditionalFormatting sqref="D2:D3">
    <cfRule type="expression" dxfId="12" priority="23">
      <formula>RIGHT(D2, 9) = "_COLOMBIA"</formula>
    </cfRule>
  </conditionalFormatting>
  <conditionalFormatting sqref="D6:D7">
    <cfRule type="expression" dxfId="11" priority="20">
      <formula>RIGHT(D6, 3) = "_CO"</formula>
    </cfRule>
  </conditionalFormatting>
  <conditionalFormatting sqref="D10">
    <cfRule type="expression" dxfId="10" priority="19">
      <formula>RIGHT(D10, 3) = "_CO"</formula>
    </cfRule>
  </conditionalFormatting>
  <conditionalFormatting sqref="D11">
    <cfRule type="expression" dxfId="9" priority="18">
      <formula>RIGHT(D11, 9) = "_COLOMBIA"</formula>
    </cfRule>
  </conditionalFormatting>
  <conditionalFormatting sqref="D12:D13">
    <cfRule type="expression" dxfId="8" priority="16">
      <formula>RIGHT(D12, 3) = "_CO"</formula>
    </cfRule>
  </conditionalFormatting>
  <conditionalFormatting sqref="D15">
    <cfRule type="expression" dxfId="7" priority="15">
      <formula>RIGHT(D15, 3) = "_CO"</formula>
    </cfRule>
  </conditionalFormatting>
  <conditionalFormatting sqref="D19:D21">
    <cfRule type="expression" dxfId="6" priority="11">
      <formula>RIGHT(D19, 3) = "_CO"</formula>
    </cfRule>
  </conditionalFormatting>
  <conditionalFormatting sqref="F3 G3:G35 F5:F17 F19 F21:F22">
    <cfRule type="expression" dxfId="5" priority="9">
      <formula>SEARCH("sitemga", F3)</formula>
    </cfRule>
  </conditionalFormatting>
  <conditionalFormatting sqref="F24">
    <cfRule type="expression" dxfId="4" priority="7">
      <formula>SEARCH("sitemga", F24)</formula>
    </cfRule>
  </conditionalFormatting>
  <conditionalFormatting sqref="F26:F27">
    <cfRule type="expression" dxfId="3" priority="6">
      <formula>SEARCH("sitemga", F26)</formula>
    </cfRule>
  </conditionalFormatting>
  <conditionalFormatting sqref="F29">
    <cfRule type="expression" dxfId="2" priority="5">
      <formula>SEARCH("sitemga", F29)</formula>
    </cfRule>
  </conditionalFormatting>
  <conditionalFormatting sqref="F31:F34">
    <cfRule type="expression" dxfId="1" priority="2">
      <formula>SEARCH("sitemga", F31)</formula>
    </cfRule>
  </conditionalFormatting>
  <conditionalFormatting sqref="F2:G2">
    <cfRule type="expression" dxfId="0" priority="8">
      <formula>SEARCH("sitemga", F2)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1474ae-537b-4df0-83af-678d7f482c71" xsi:nil="true"/>
    <lcf76f155ced4ddcb4097134ff3c332f xmlns="6ecc447a-6691-45a5-8274-7d774baaac7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91DE5DE9521043BF75EC101825E85F" ma:contentTypeVersion="15" ma:contentTypeDescription="Crear nuevo documento." ma:contentTypeScope="" ma:versionID="caf9b902894224dae36d32eabeef9019">
  <xsd:schema xmlns:xsd="http://www.w3.org/2001/XMLSchema" xmlns:xs="http://www.w3.org/2001/XMLSchema" xmlns:p="http://schemas.microsoft.com/office/2006/metadata/properties" xmlns:ns2="6ecc447a-6691-45a5-8274-7d774baaac78" xmlns:ns3="fb1474ae-537b-4df0-83af-678d7f482c71" targetNamespace="http://schemas.microsoft.com/office/2006/metadata/properties" ma:root="true" ma:fieldsID="1d53c5c7b93335bb222e814fd1b59111" ns2:_="" ns3:_="">
    <xsd:import namespace="6ecc447a-6691-45a5-8274-7d774baaac78"/>
    <xsd:import namespace="fb1474ae-537b-4df0-83af-678d7f482c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cc447a-6691-45a5-8274-7d774baaa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fbe80d8d-fe71-4a18-bb3a-76e6803f06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474ae-537b-4df0-83af-678d7f482c7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db1813d-c24f-44cc-b6cc-fc4782a61d2c}" ma:internalName="TaxCatchAll" ma:showField="CatchAllData" ma:web="fb1474ae-537b-4df0-83af-678d7f482c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A3C932-1036-4C55-80B9-6348E8ECB90B}"/>
</file>

<file path=customXml/itemProps2.xml><?xml version="1.0" encoding="utf-8"?>
<ds:datastoreItem xmlns:ds="http://schemas.openxmlformats.org/officeDocument/2006/customXml" ds:itemID="{99147523-5A43-4693-B83F-D06D954BBAFB}"/>
</file>

<file path=customXml/itemProps3.xml><?xml version="1.0" encoding="utf-8"?>
<ds:datastoreItem xmlns:ds="http://schemas.openxmlformats.org/officeDocument/2006/customXml" ds:itemID="{72410A8C-F931-4182-9520-ED5077D739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2025-07-21T14:42:49Z</dcterms:created>
  <dcterms:modified xsi:type="dcterms:W3CDTF">2026-04-28T08:58:47Z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0x0101008591DE5DE9521043BF75EC101825E85F</vt:lpwstr>
  </property>
  <property fmtid="{D5CDD505-2E9C-101B-9397-08002B2CF9AE}" pid="3" name="MediaServiceImageTags">
    <vt:lpwstr/>
  </property>
</Properties>
</file>